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Ex1.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Admin\Documents\benceno\Master UdG\TFM\"/>
    </mc:Choice>
  </mc:AlternateContent>
  <xr:revisionPtr revIDLastSave="0" documentId="13_ncr:1_{3522ED4E-E27C-46ED-8DFA-B1174DFFB2E2}" xr6:coauthVersionLast="47" xr6:coauthVersionMax="47" xr10:uidLastSave="{00000000-0000-0000-0000-000000000000}"/>
  <bookViews>
    <workbookView xWindow="-120" yWindow="-120" windowWidth="20730" windowHeight="11160" xr2:uid="{00000000-000D-0000-FFFF-FFFF00000000}"/>
  </bookViews>
  <sheets>
    <sheet name="Herramienta" sheetId="3" r:id="rId1"/>
    <sheet name="Matriz toma de decision" sheetId="2" r:id="rId2"/>
    <sheet name="Priorización" sheetId="4" r:id="rId3"/>
  </sheets>
  <definedNames>
    <definedName name="_xlnm._FilterDatabase" localSheetId="0" hidden="1">Herramienta!$B$38:$L$65</definedName>
    <definedName name="_xlnm._FilterDatabase" localSheetId="1" hidden="1">'Matriz toma de decision'!$B$2:$AK$29</definedName>
    <definedName name="_xlchart.v1.0" hidden="1">Priorización!$AH$5:$AI$21</definedName>
    <definedName name="_xlchart.v1.1" hidden="1">Priorización!$AJ$4</definedName>
    <definedName name="_xlchart.v1.10" hidden="1">Priorización!$AJ$4</definedName>
    <definedName name="_xlchart.v1.11" hidden="1">Priorización!$AJ$5:$AJ$21</definedName>
    <definedName name="_xlchart.v1.12" hidden="1">Priorización!$AH$5:$AI$21</definedName>
    <definedName name="_xlchart.v1.13" hidden="1">Priorización!$AJ$4</definedName>
    <definedName name="_xlchart.v1.14" hidden="1">Priorización!$AJ$5:$AJ$21</definedName>
    <definedName name="_xlchart.v1.2" hidden="1">Priorización!$AJ$5:$AJ$21</definedName>
    <definedName name="_xlchart.v1.3" hidden="1">Priorización!$AH$5:$AI$21</definedName>
    <definedName name="_xlchart.v1.4" hidden="1">Priorización!$AJ$4</definedName>
    <definedName name="_xlchart.v1.5" hidden="1">Priorización!$AJ$5:$AJ$21</definedName>
    <definedName name="_xlchart.v1.6" hidden="1">Priorización!$AH$5:$AI$21</definedName>
    <definedName name="_xlchart.v1.7" hidden="1">Priorización!$AJ$4</definedName>
    <definedName name="_xlchart.v1.8" hidden="1">Priorización!$AJ$5:$AJ$21</definedName>
    <definedName name="_xlchart.v1.9" hidden="1">Priorización!$AH$5:$AI$21</definedName>
  </definedNames>
  <calcPr calcId="181029"/>
</workbook>
</file>

<file path=xl/calcChain.xml><?xml version="1.0" encoding="utf-8"?>
<calcChain xmlns="http://schemas.openxmlformats.org/spreadsheetml/2006/main">
  <c r="H46" i="3" l="1"/>
  <c r="B48" i="3" l="1"/>
  <c r="AJ11" i="2"/>
  <c r="AI6" i="2" l="1"/>
  <c r="B61" i="3"/>
  <c r="D61" i="3" s="1"/>
  <c r="V113" i="4" l="1"/>
  <c r="T113" i="4"/>
  <c r="O113" i="4"/>
  <c r="L113" i="4"/>
  <c r="M113" i="4" s="1"/>
  <c r="V112" i="4"/>
  <c r="T112" i="4"/>
  <c r="O112" i="4"/>
  <c r="L112" i="4"/>
  <c r="M112" i="4" s="1"/>
  <c r="V111" i="4"/>
  <c r="T111" i="4"/>
  <c r="O111" i="4"/>
  <c r="L111" i="4"/>
  <c r="M111" i="4" s="1"/>
  <c r="V110" i="4"/>
  <c r="T110" i="4"/>
  <c r="O110" i="4"/>
  <c r="M110" i="4"/>
  <c r="L110" i="4"/>
  <c r="V109" i="4"/>
  <c r="T109" i="4"/>
  <c r="O109" i="4"/>
  <c r="L109" i="4"/>
  <c r="M109" i="4" s="1"/>
  <c r="V108" i="4"/>
  <c r="T108" i="4"/>
  <c r="O108" i="4"/>
  <c r="L108" i="4"/>
  <c r="M108" i="4" s="1"/>
  <c r="V107" i="4"/>
  <c r="T107" i="4"/>
  <c r="O107" i="4"/>
  <c r="L107" i="4"/>
  <c r="M107" i="4" s="1"/>
  <c r="V106" i="4"/>
  <c r="T106" i="4"/>
  <c r="O106" i="4"/>
  <c r="L106" i="4"/>
  <c r="M106" i="4" s="1"/>
  <c r="V105" i="4"/>
  <c r="T105" i="4"/>
  <c r="O105" i="4"/>
  <c r="L105" i="4"/>
  <c r="M105" i="4" s="1"/>
  <c r="V104" i="4"/>
  <c r="T104" i="4"/>
  <c r="O104" i="4"/>
  <c r="L104" i="4"/>
  <c r="M104" i="4" s="1"/>
  <c r="V103" i="4"/>
  <c r="T103" i="4"/>
  <c r="O103" i="4"/>
  <c r="L103" i="4"/>
  <c r="M103" i="4" s="1"/>
  <c r="V102" i="4"/>
  <c r="T102" i="4"/>
  <c r="O102" i="4"/>
  <c r="L102" i="4"/>
  <c r="M102" i="4" s="1"/>
  <c r="V101" i="4"/>
  <c r="T101" i="4"/>
  <c r="O101" i="4"/>
  <c r="L101" i="4"/>
  <c r="M101" i="4" s="1"/>
  <c r="V100" i="4"/>
  <c r="T100" i="4"/>
  <c r="O100" i="4"/>
  <c r="L100" i="4"/>
  <c r="M100" i="4" s="1"/>
  <c r="V99" i="4"/>
  <c r="T99" i="4"/>
  <c r="O99" i="4"/>
  <c r="L99" i="4"/>
  <c r="M99" i="4" s="1"/>
  <c r="V98" i="4"/>
  <c r="T98" i="4"/>
  <c r="O98" i="4"/>
  <c r="L98" i="4"/>
  <c r="M98" i="4" s="1"/>
  <c r="V97" i="4"/>
  <c r="T97" i="4"/>
  <c r="O97" i="4"/>
  <c r="L97" i="4"/>
  <c r="M97" i="4" s="1"/>
  <c r="V96" i="4"/>
  <c r="T96" i="4"/>
  <c r="O96" i="4"/>
  <c r="L96" i="4"/>
  <c r="M96" i="4" s="1"/>
  <c r="V95" i="4"/>
  <c r="T95" i="4"/>
  <c r="O95" i="4"/>
  <c r="L95" i="4"/>
  <c r="M95" i="4" s="1"/>
  <c r="V94" i="4"/>
  <c r="T94" i="4"/>
  <c r="O94" i="4"/>
  <c r="L94" i="4"/>
  <c r="M94" i="4" s="1"/>
  <c r="V93" i="4"/>
  <c r="T93" i="4"/>
  <c r="O93" i="4"/>
  <c r="L93" i="4"/>
  <c r="M93" i="4" s="1"/>
  <c r="V92" i="4"/>
  <c r="T92" i="4"/>
  <c r="O92" i="4"/>
  <c r="L92" i="4"/>
  <c r="M92" i="4" s="1"/>
  <c r="V90" i="4"/>
  <c r="T90" i="4"/>
  <c r="O90" i="4"/>
  <c r="L90" i="4"/>
  <c r="M90" i="4" s="1"/>
  <c r="V89" i="4"/>
  <c r="T89" i="4"/>
  <c r="O89" i="4"/>
  <c r="L89" i="4"/>
  <c r="M89" i="4" s="1"/>
  <c r="V88" i="4"/>
  <c r="T88" i="4"/>
  <c r="O88" i="4"/>
  <c r="L88" i="4"/>
  <c r="M88" i="4" s="1"/>
  <c r="V87" i="4"/>
  <c r="T87" i="4"/>
  <c r="O87" i="4"/>
  <c r="L87" i="4"/>
  <c r="M87" i="4" s="1"/>
  <c r="V86" i="4"/>
  <c r="T86" i="4"/>
  <c r="O86" i="4"/>
  <c r="L86" i="4"/>
  <c r="M86" i="4" s="1"/>
  <c r="V85" i="4"/>
  <c r="T85" i="4"/>
  <c r="O85" i="4"/>
  <c r="L85" i="4"/>
  <c r="M85" i="4" s="1"/>
  <c r="V84" i="4"/>
  <c r="T84" i="4"/>
  <c r="O84" i="4"/>
  <c r="L84" i="4"/>
  <c r="M84" i="4" s="1"/>
  <c r="V83" i="4"/>
  <c r="T83" i="4"/>
  <c r="O83" i="4"/>
  <c r="L83" i="4"/>
  <c r="M83" i="4" s="1"/>
  <c r="V82" i="4"/>
  <c r="T82" i="4"/>
  <c r="O82" i="4"/>
  <c r="L82" i="4"/>
  <c r="M82" i="4" s="1"/>
  <c r="V81" i="4"/>
  <c r="T81" i="4"/>
  <c r="O81" i="4"/>
  <c r="L81" i="4"/>
  <c r="M81" i="4" s="1"/>
  <c r="V80" i="4"/>
  <c r="T80" i="4"/>
  <c r="O80" i="4"/>
  <c r="L80" i="4"/>
  <c r="M80" i="4" s="1"/>
  <c r="V79" i="4"/>
  <c r="T79" i="4"/>
  <c r="O79" i="4"/>
  <c r="L79" i="4"/>
  <c r="M79" i="4" s="1"/>
  <c r="V78" i="4"/>
  <c r="T78" i="4"/>
  <c r="O78" i="4"/>
  <c r="L78" i="4"/>
  <c r="M78" i="4" s="1"/>
  <c r="V77" i="4"/>
  <c r="T77" i="4"/>
  <c r="O77" i="4"/>
  <c r="L77" i="4"/>
  <c r="M77" i="4" s="1"/>
  <c r="V76" i="4"/>
  <c r="T76" i="4"/>
  <c r="O76" i="4"/>
  <c r="L76" i="4"/>
  <c r="M76" i="4" s="1"/>
  <c r="V75" i="4"/>
  <c r="T75" i="4"/>
  <c r="O75" i="4"/>
  <c r="L75" i="4"/>
  <c r="M75" i="4" s="1"/>
  <c r="V74" i="4"/>
  <c r="T74" i="4"/>
  <c r="O74" i="4"/>
  <c r="L74" i="4"/>
  <c r="M74" i="4" s="1"/>
  <c r="V73" i="4"/>
  <c r="T73" i="4"/>
  <c r="O73" i="4"/>
  <c r="L73" i="4"/>
  <c r="M73" i="4" s="1"/>
  <c r="V72" i="4"/>
  <c r="T72" i="4"/>
  <c r="O72" i="4"/>
  <c r="L72" i="4"/>
  <c r="M72" i="4" s="1"/>
  <c r="V71" i="4"/>
  <c r="T71" i="4"/>
  <c r="O71" i="4"/>
  <c r="L71" i="4"/>
  <c r="M71" i="4" s="1"/>
  <c r="V70" i="4"/>
  <c r="T70" i="4"/>
  <c r="O70" i="4"/>
  <c r="L70" i="4"/>
  <c r="M70" i="4" s="1"/>
  <c r="V69" i="4"/>
  <c r="T69" i="4"/>
  <c r="O69" i="4"/>
  <c r="L69" i="4"/>
  <c r="M69" i="4" s="1"/>
  <c r="V68" i="4"/>
  <c r="T68" i="4"/>
  <c r="O68" i="4"/>
  <c r="L68" i="4"/>
  <c r="M68" i="4" s="1"/>
  <c r="V67" i="4"/>
  <c r="T67" i="4"/>
  <c r="O67" i="4"/>
  <c r="L67" i="4"/>
  <c r="M67" i="4" s="1"/>
  <c r="V66" i="4"/>
  <c r="T66" i="4"/>
  <c r="O66" i="4"/>
  <c r="L66" i="4"/>
  <c r="M66" i="4" s="1"/>
  <c r="V65" i="4"/>
  <c r="T65" i="4"/>
  <c r="O65" i="4"/>
  <c r="L65" i="4"/>
  <c r="M65" i="4" s="1"/>
  <c r="E64" i="4"/>
  <c r="L63" i="4" s="1"/>
  <c r="M63" i="4" s="1"/>
  <c r="V63" i="4"/>
  <c r="T63" i="4"/>
  <c r="O63" i="4"/>
  <c r="V62" i="4"/>
  <c r="T62" i="4"/>
  <c r="O62" i="4"/>
  <c r="L62" i="4"/>
  <c r="M62" i="4" s="1"/>
  <c r="V61" i="4"/>
  <c r="T61" i="4"/>
  <c r="O61" i="4"/>
  <c r="L61" i="4"/>
  <c r="M61" i="4" s="1"/>
  <c r="V60" i="4"/>
  <c r="T60" i="4"/>
  <c r="O60" i="4"/>
  <c r="L60" i="4"/>
  <c r="M60" i="4" s="1"/>
  <c r="V59" i="4"/>
  <c r="T59" i="4"/>
  <c r="O59" i="4"/>
  <c r="M59" i="4"/>
  <c r="L59" i="4"/>
  <c r="V58" i="4"/>
  <c r="T58" i="4"/>
  <c r="O58" i="4"/>
  <c r="L58" i="4"/>
  <c r="M58" i="4" s="1"/>
  <c r="V57" i="4"/>
  <c r="T57" i="4"/>
  <c r="O57" i="4"/>
  <c r="L57" i="4"/>
  <c r="M57" i="4" s="1"/>
  <c r="V56" i="4"/>
  <c r="T56" i="4"/>
  <c r="O56" i="4"/>
  <c r="L56" i="4"/>
  <c r="M56" i="4" s="1"/>
  <c r="V55" i="4"/>
  <c r="T55" i="4"/>
  <c r="O55" i="4"/>
  <c r="L55" i="4"/>
  <c r="M55" i="4" s="1"/>
  <c r="V54" i="4"/>
  <c r="T54" i="4"/>
  <c r="O54" i="4"/>
  <c r="L54" i="4"/>
  <c r="M54" i="4" s="1"/>
  <c r="V53" i="4"/>
  <c r="T53" i="4"/>
  <c r="O53" i="4"/>
  <c r="L53" i="4"/>
  <c r="M53" i="4" s="1"/>
  <c r="V52" i="4"/>
  <c r="T52" i="4"/>
  <c r="O52" i="4"/>
  <c r="L52" i="4"/>
  <c r="M52" i="4" s="1"/>
  <c r="V51" i="4"/>
  <c r="T51" i="4"/>
  <c r="O51" i="4"/>
  <c r="L51" i="4"/>
  <c r="M51" i="4" s="1"/>
  <c r="V50" i="4"/>
  <c r="T50" i="4"/>
  <c r="O50" i="4"/>
  <c r="L50" i="4"/>
  <c r="M50" i="4" s="1"/>
  <c r="V49" i="4"/>
  <c r="T49" i="4"/>
  <c r="O49" i="4"/>
  <c r="L49" i="4"/>
  <c r="M49" i="4" s="1"/>
  <c r="V48" i="4"/>
  <c r="T48" i="4"/>
  <c r="O48" i="4"/>
  <c r="M48" i="4"/>
  <c r="V47" i="4"/>
  <c r="T47" i="4"/>
  <c r="O47" i="4"/>
  <c r="I47" i="4"/>
  <c r="V46" i="4"/>
  <c r="T46" i="4"/>
  <c r="O46" i="4"/>
  <c r="L46" i="4"/>
  <c r="M46" i="4" s="1"/>
  <c r="V45" i="4"/>
  <c r="T45" i="4"/>
  <c r="O45" i="4"/>
  <c r="L45" i="4"/>
  <c r="M45" i="4" s="1"/>
  <c r="V44" i="4"/>
  <c r="T44" i="4"/>
  <c r="O44" i="4"/>
  <c r="L44" i="4"/>
  <c r="M44" i="4" s="1"/>
  <c r="V43" i="4"/>
  <c r="T43" i="4"/>
  <c r="O43" i="4"/>
  <c r="L43" i="4"/>
  <c r="M43" i="4" s="1"/>
  <c r="V42" i="4"/>
  <c r="T42" i="4"/>
  <c r="O42" i="4"/>
  <c r="L42" i="4"/>
  <c r="M42" i="4" s="1"/>
  <c r="V41" i="4"/>
  <c r="T41" i="4"/>
  <c r="O41" i="4"/>
  <c r="L41" i="4"/>
  <c r="M41" i="4" s="1"/>
  <c r="V39" i="4"/>
  <c r="T39" i="4"/>
  <c r="O39" i="4"/>
  <c r="L39" i="4"/>
  <c r="M39" i="4" s="1"/>
  <c r="V38" i="4"/>
  <c r="T38" i="4"/>
  <c r="O38" i="4"/>
  <c r="L38" i="4"/>
  <c r="M38" i="4" s="1"/>
  <c r="V37" i="4"/>
  <c r="T37" i="4"/>
  <c r="O37" i="4"/>
  <c r="L37" i="4"/>
  <c r="M37" i="4" s="1"/>
  <c r="V36" i="4"/>
  <c r="T36" i="4"/>
  <c r="O36" i="4"/>
  <c r="L36" i="4"/>
  <c r="M36" i="4" s="1"/>
  <c r="V35" i="4"/>
  <c r="T35" i="4"/>
  <c r="O35" i="4"/>
  <c r="L35" i="4"/>
  <c r="M35" i="4" s="1"/>
  <c r="V34" i="4"/>
  <c r="T34" i="4"/>
  <c r="O34" i="4"/>
  <c r="L34" i="4"/>
  <c r="M34" i="4" s="1"/>
  <c r="V33" i="4"/>
  <c r="T33" i="4"/>
  <c r="O33" i="4"/>
  <c r="L33" i="4"/>
  <c r="M33" i="4" s="1"/>
  <c r="V32" i="4"/>
  <c r="T32" i="4"/>
  <c r="O32" i="4"/>
  <c r="L32" i="4"/>
  <c r="M32" i="4" s="1"/>
  <c r="V31" i="4"/>
  <c r="T31" i="4"/>
  <c r="O31" i="4"/>
  <c r="L31" i="4"/>
  <c r="M31" i="4" s="1"/>
  <c r="V30" i="4"/>
  <c r="T30" i="4"/>
  <c r="O30" i="4"/>
  <c r="L30" i="4"/>
  <c r="M30" i="4" s="1"/>
  <c r="V29" i="4"/>
  <c r="T29" i="4"/>
  <c r="O29" i="4"/>
  <c r="L29" i="4"/>
  <c r="M29" i="4" s="1"/>
  <c r="V28" i="4"/>
  <c r="T28" i="4"/>
  <c r="O28" i="4"/>
  <c r="L28" i="4"/>
  <c r="M28" i="4" s="1"/>
  <c r="V25" i="4"/>
  <c r="T25" i="4"/>
  <c r="O25" i="4"/>
  <c r="L25" i="4"/>
  <c r="M25" i="4" s="1"/>
  <c r="V24" i="4"/>
  <c r="T24" i="4"/>
  <c r="O24" i="4"/>
  <c r="L24" i="4"/>
  <c r="M24" i="4" s="1"/>
  <c r="V23" i="4"/>
  <c r="T23" i="4"/>
  <c r="O23" i="4"/>
  <c r="L23" i="4"/>
  <c r="M23" i="4" s="1"/>
  <c r="V22" i="4"/>
  <c r="T22" i="4"/>
  <c r="O22" i="4"/>
  <c r="L22" i="4"/>
  <c r="M22" i="4" s="1"/>
  <c r="V21" i="4"/>
  <c r="T21" i="4"/>
  <c r="O21" i="4"/>
  <c r="L21" i="4"/>
  <c r="M21" i="4" s="1"/>
  <c r="V18" i="4"/>
  <c r="T18" i="4"/>
  <c r="O18" i="4"/>
  <c r="L18" i="4"/>
  <c r="M18" i="4" s="1"/>
  <c r="V15" i="4"/>
  <c r="T15" i="4"/>
  <c r="O15" i="4"/>
  <c r="L15" i="4"/>
  <c r="M15" i="4" s="1"/>
  <c r="E14" i="4"/>
  <c r="V13" i="4"/>
  <c r="T13" i="4"/>
  <c r="O13" i="4"/>
  <c r="L13" i="4"/>
  <c r="M13" i="4" s="1"/>
  <c r="V12" i="4"/>
  <c r="T12" i="4"/>
  <c r="O12" i="4"/>
  <c r="L12" i="4"/>
  <c r="M12" i="4" s="1"/>
  <c r="E11" i="4"/>
  <c r="L10" i="4" s="1"/>
  <c r="M10" i="4" s="1"/>
  <c r="V10" i="4"/>
  <c r="T10" i="4"/>
  <c r="O10" i="4"/>
  <c r="V8" i="4"/>
  <c r="T8" i="4"/>
  <c r="O8" i="4"/>
  <c r="L8" i="4"/>
  <c r="M8" i="4" s="1"/>
  <c r="V7" i="4"/>
  <c r="T7" i="4"/>
  <c r="O7" i="4"/>
  <c r="L7" i="4"/>
  <c r="M7" i="4" s="1"/>
  <c r="E6" i="4"/>
  <c r="V5" i="4"/>
  <c r="T5" i="4"/>
  <c r="O5" i="4"/>
  <c r="L5" i="4"/>
  <c r="M5" i="4" s="1"/>
  <c r="V3" i="4"/>
  <c r="T3" i="4"/>
  <c r="O3" i="4"/>
  <c r="E3" i="4"/>
  <c r="H40" i="3"/>
  <c r="H41" i="3"/>
  <c r="H42" i="3"/>
  <c r="H43" i="3"/>
  <c r="H44" i="3"/>
  <c r="H45" i="3"/>
  <c r="H47" i="3"/>
  <c r="H48" i="3"/>
  <c r="H49" i="3"/>
  <c r="H50" i="3"/>
  <c r="H51" i="3"/>
  <c r="H53" i="3"/>
  <c r="H54" i="3"/>
  <c r="H55" i="3"/>
  <c r="H56" i="3"/>
  <c r="H58" i="3"/>
  <c r="H59" i="3"/>
  <c r="H61" i="3"/>
  <c r="H62" i="3"/>
  <c r="H39" i="3"/>
  <c r="I40" i="3"/>
  <c r="I41" i="3"/>
  <c r="I42" i="3"/>
  <c r="I43" i="3"/>
  <c r="I44" i="3"/>
  <c r="I45" i="3"/>
  <c r="I46" i="3"/>
  <c r="I47" i="3"/>
  <c r="I48" i="3"/>
  <c r="I49" i="3"/>
  <c r="I50" i="3"/>
  <c r="I51" i="3"/>
  <c r="I52" i="3"/>
  <c r="I53" i="3"/>
  <c r="I54" i="3"/>
  <c r="I55" i="3"/>
  <c r="I56" i="3"/>
  <c r="I57" i="3"/>
  <c r="I58" i="3"/>
  <c r="I59" i="3"/>
  <c r="I60" i="3"/>
  <c r="I61" i="3"/>
  <c r="I62" i="3"/>
  <c r="I63" i="3"/>
  <c r="I39" i="3"/>
  <c r="X3" i="2"/>
  <c r="Z3" i="2"/>
  <c r="X4" i="2"/>
  <c r="Z4" i="2"/>
  <c r="B40" i="3"/>
  <c r="Z26" i="2"/>
  <c r="X26" i="2"/>
  <c r="X9" i="2"/>
  <c r="B39" i="3"/>
  <c r="D39" i="3" s="1"/>
  <c r="AJ3" i="2" s="1"/>
  <c r="B44" i="3"/>
  <c r="D44" i="3" s="1"/>
  <c r="AJ8" i="2" s="1"/>
  <c r="B63" i="3"/>
  <c r="D63" i="3" s="1"/>
  <c r="B62" i="3"/>
  <c r="D62" i="3" s="1"/>
  <c r="B60" i="3"/>
  <c r="D60" i="3" s="1"/>
  <c r="B59" i="3"/>
  <c r="D59" i="3" s="1"/>
  <c r="B58" i="3"/>
  <c r="D58" i="3" s="1"/>
  <c r="B57" i="3"/>
  <c r="D57" i="3" s="1"/>
  <c r="B56" i="3"/>
  <c r="D56" i="3" s="1"/>
  <c r="B55" i="3"/>
  <c r="D55" i="3" s="1"/>
  <c r="B54" i="3"/>
  <c r="D54" i="3" s="1"/>
  <c r="B53" i="3"/>
  <c r="D53" i="3" s="1"/>
  <c r="B52" i="3"/>
  <c r="D52" i="3" s="1"/>
  <c r="B51" i="3"/>
  <c r="D51" i="3" s="1"/>
  <c r="B50" i="3"/>
  <c r="D50" i="3" s="1"/>
  <c r="B49" i="3"/>
  <c r="D49" i="3" s="1"/>
  <c r="AJ13" i="2" s="1"/>
  <c r="D48" i="3"/>
  <c r="AJ12" i="2" s="1"/>
  <c r="B47" i="3"/>
  <c r="C47" i="3" s="1"/>
  <c r="B46" i="3"/>
  <c r="D46" i="3" s="1"/>
  <c r="AJ10" i="2" s="1"/>
  <c r="B45" i="3"/>
  <c r="D45" i="3" s="1"/>
  <c r="AJ9" i="2" s="1"/>
  <c r="B43" i="3"/>
  <c r="D43" i="3" s="1"/>
  <c r="AJ7" i="2" s="1"/>
  <c r="B42" i="3"/>
  <c r="D42" i="3" s="1"/>
  <c r="AJ6" i="2" s="1"/>
  <c r="B41" i="3"/>
  <c r="D41" i="3" s="1"/>
  <c r="AJ5" i="2" s="1"/>
  <c r="AI3" i="2"/>
  <c r="AH3" i="2"/>
  <c r="AI4" i="2"/>
  <c r="AI5" i="2"/>
  <c r="AI7" i="2"/>
  <c r="AI8" i="2"/>
  <c r="AI9" i="2"/>
  <c r="AI10" i="2"/>
  <c r="AI11" i="2"/>
  <c r="AI12" i="2"/>
  <c r="AI13" i="2"/>
  <c r="AI14" i="2"/>
  <c r="AI15" i="2"/>
  <c r="AI16" i="2"/>
  <c r="AI17" i="2"/>
  <c r="AI18" i="2"/>
  <c r="AI19" i="2"/>
  <c r="AI20" i="2"/>
  <c r="AI21" i="2"/>
  <c r="AI22" i="2"/>
  <c r="AI23" i="2"/>
  <c r="AI24" i="2"/>
  <c r="AI25" i="2"/>
  <c r="AI26" i="2"/>
  <c r="AI27" i="2"/>
  <c r="AH4" i="2"/>
  <c r="AH5" i="2"/>
  <c r="AH6" i="2"/>
  <c r="AH7" i="2"/>
  <c r="AH8" i="2"/>
  <c r="AH9" i="2"/>
  <c r="AH10" i="2"/>
  <c r="AH11" i="2"/>
  <c r="AH12" i="2"/>
  <c r="AH13" i="2"/>
  <c r="AH14" i="2"/>
  <c r="AH15" i="2"/>
  <c r="AH16" i="2"/>
  <c r="AH17" i="2"/>
  <c r="AH18" i="2"/>
  <c r="AH19" i="2"/>
  <c r="AH20" i="2"/>
  <c r="AH21" i="2"/>
  <c r="AH22" i="2"/>
  <c r="AH23" i="2"/>
  <c r="AH24" i="2"/>
  <c r="AH25" i="2"/>
  <c r="AH26" i="2"/>
  <c r="AH27" i="2"/>
  <c r="AJ22" i="2" l="1"/>
  <c r="AK22" i="2" s="1"/>
  <c r="C40" i="3"/>
  <c r="AJ15" i="2" s="1"/>
  <c r="AK15" i="2" s="1"/>
  <c r="D40" i="3"/>
  <c r="AJ4" i="2" s="1"/>
  <c r="AK4" i="2" s="1"/>
  <c r="C51" i="3"/>
  <c r="AJ26" i="2" s="1"/>
  <c r="C58" i="3"/>
  <c r="C62" i="3"/>
  <c r="C59" i="3"/>
  <c r="C43" i="3"/>
  <c r="AJ18" i="2" s="1"/>
  <c r="C52" i="3"/>
  <c r="AJ27" i="2" s="1"/>
  <c r="C60" i="3"/>
  <c r="C39" i="3"/>
  <c r="AJ14" i="2" s="1"/>
  <c r="X33" i="4"/>
  <c r="X81" i="4"/>
  <c r="X98" i="4"/>
  <c r="X15" i="4"/>
  <c r="X21" i="4"/>
  <c r="X49" i="4"/>
  <c r="X51" i="4"/>
  <c r="X55" i="4"/>
  <c r="X63" i="4"/>
  <c r="X83" i="4"/>
  <c r="X85" i="4"/>
  <c r="X89" i="4"/>
  <c r="X65" i="4"/>
  <c r="X7" i="4"/>
  <c r="X8" i="4"/>
  <c r="X35" i="4"/>
  <c r="X37" i="4"/>
  <c r="X42" i="4"/>
  <c r="X67" i="4"/>
  <c r="X69" i="4"/>
  <c r="X73" i="4"/>
  <c r="X100" i="4"/>
  <c r="X102" i="4"/>
  <c r="X106" i="4"/>
  <c r="X5" i="4"/>
  <c r="X10" i="4"/>
  <c r="X18" i="4"/>
  <c r="X39" i="4"/>
  <c r="X71" i="4"/>
  <c r="X87" i="4"/>
  <c r="X104" i="4"/>
  <c r="X12" i="4"/>
  <c r="X44" i="4"/>
  <c r="X57" i="4"/>
  <c r="X75" i="4"/>
  <c r="X92" i="4"/>
  <c r="X108" i="4"/>
  <c r="X53" i="4"/>
  <c r="X13" i="4"/>
  <c r="X22" i="4"/>
  <c r="X23" i="4"/>
  <c r="X25" i="4"/>
  <c r="X28" i="4"/>
  <c r="X29" i="4"/>
  <c r="X31" i="4"/>
  <c r="X46" i="4"/>
  <c r="X59" i="4"/>
  <c r="X61" i="4"/>
  <c r="X77" i="4"/>
  <c r="X79" i="4"/>
  <c r="X94" i="4"/>
  <c r="X96" i="4"/>
  <c r="X110" i="4"/>
  <c r="X112" i="4"/>
  <c r="X24" i="4"/>
  <c r="X30" i="4"/>
  <c r="X34" i="4"/>
  <c r="X38" i="4"/>
  <c r="X43" i="4"/>
  <c r="L47" i="4"/>
  <c r="X48" i="4"/>
  <c r="X52" i="4"/>
  <c r="X56" i="4"/>
  <c r="X60" i="4"/>
  <c r="X66" i="4"/>
  <c r="X70" i="4"/>
  <c r="X74" i="4"/>
  <c r="X78" i="4"/>
  <c r="X82" i="4"/>
  <c r="X86" i="4"/>
  <c r="X90" i="4"/>
  <c r="X95" i="4"/>
  <c r="X99" i="4"/>
  <c r="X103" i="4"/>
  <c r="X107" i="4"/>
  <c r="X111" i="4"/>
  <c r="L3" i="4"/>
  <c r="X32" i="4"/>
  <c r="X36" i="4"/>
  <c r="X41" i="4"/>
  <c r="X45" i="4"/>
  <c r="X50" i="4"/>
  <c r="X54" i="4"/>
  <c r="X58" i="4"/>
  <c r="X62" i="4"/>
  <c r="X68" i="4"/>
  <c r="X72" i="4"/>
  <c r="X76" i="4"/>
  <c r="X80" i="4"/>
  <c r="X84" i="4"/>
  <c r="X88" i="4"/>
  <c r="X93" i="4"/>
  <c r="X97" i="4"/>
  <c r="X101" i="4"/>
  <c r="X105" i="4"/>
  <c r="X109" i="4"/>
  <c r="X113" i="4"/>
  <c r="AK5" i="2"/>
  <c r="C41" i="3" s="1"/>
  <c r="AJ16" i="2" s="1"/>
  <c r="AK12" i="2"/>
  <c r="C48" i="3" s="1"/>
  <c r="AJ23" i="2" s="1"/>
  <c r="AK3" i="2"/>
  <c r="AK9" i="2"/>
  <c r="C45" i="3" s="1"/>
  <c r="AJ20" i="2" s="1"/>
  <c r="AK20" i="2" s="1"/>
  <c r="C56" i="3" s="1"/>
  <c r="AK8" i="2"/>
  <c r="C44" i="3" s="1"/>
  <c r="AJ19" i="2" s="1"/>
  <c r="AK11" i="2"/>
  <c r="AK7" i="2"/>
  <c r="AK6" i="2"/>
  <c r="C42" i="3" s="1"/>
  <c r="AJ17" i="2" s="1"/>
  <c r="AK17" i="2" s="1"/>
  <c r="C53" i="3" s="1"/>
  <c r="AK10" i="2"/>
  <c r="C46" i="3" s="1"/>
  <c r="AJ21" i="2" s="1"/>
  <c r="AK21" i="2" s="1"/>
  <c r="C57" i="3" s="1"/>
  <c r="AK14" i="2" l="1"/>
  <c r="C50" i="3" s="1"/>
  <c r="AK26" i="2"/>
  <c r="M3" i="4"/>
  <c r="X3" i="4" s="1"/>
  <c r="M47" i="4"/>
  <c r="X47" i="4" s="1"/>
  <c r="K48" i="4"/>
  <c r="AK27" i="2"/>
  <c r="C63" i="3" s="1"/>
  <c r="AK16" i="2"/>
  <c r="AK18" i="2"/>
  <c r="C54" i="3" s="1"/>
  <c r="AJ25" i="2" l="1"/>
  <c r="AK25" i="2" s="1"/>
  <c r="C61" i="3" s="1"/>
  <c r="AK13" i="2"/>
  <c r="C49" i="3" s="1"/>
  <c r="AJ24" i="2" s="1"/>
  <c r="AK19" i="2"/>
  <c r="C55" i="3" s="1"/>
  <c r="AK24" i="2" l="1"/>
  <c r="AK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D2" authorId="0" shapeId="0" xr:uid="{5E3B230B-9EA8-49B6-A559-EC65A212519C}">
      <text>
        <r>
          <rPr>
            <b/>
            <sz val="9"/>
            <color indexed="81"/>
            <rFont val="Tahoma"/>
            <family val="2"/>
          </rPr>
          <t xml:space="preserve">Admin:
</t>
        </r>
        <r>
          <rPr>
            <sz val="9"/>
            <color indexed="81"/>
            <rFont val="Tahoma"/>
            <family val="2"/>
          </rPr>
          <t>Indica si el área verde o proyecto urbano es de nueva construcción</t>
        </r>
      </text>
    </comment>
    <comment ref="E2" authorId="0" shapeId="0" xr:uid="{7F7EE266-E347-4D92-A3F7-7A35C3720462}">
      <text>
        <r>
          <rPr>
            <b/>
            <sz val="9"/>
            <color indexed="81"/>
            <rFont val="Tahoma"/>
            <family val="2"/>
          </rPr>
          <t>Admin:</t>
        </r>
        <r>
          <rPr>
            <sz val="9"/>
            <color indexed="81"/>
            <rFont val="Tahoma"/>
            <family val="2"/>
          </rPr>
          <t xml:space="preserve">
Se consideran tres escalas según las características de las zonas verdes urbanas consideradas en el GiroNat: 
1. Calle: el radio de influencia del área se limita a 100 m
2. barrio: el área verde influye en todo el barrio en el que se encuentra
3. ciudad: el área verde tiene un radio de influencia en más de un barrio de Girona</t>
        </r>
      </text>
    </comment>
    <comment ref="F2" authorId="0" shapeId="0" xr:uid="{88B5C10D-3C7F-41E3-A351-0EF5C9EEE4F0}">
      <text>
        <r>
          <rPr>
            <b/>
            <sz val="9"/>
            <color indexed="81"/>
            <rFont val="Tahoma"/>
            <family val="2"/>
          </rPr>
          <t>Admin:</t>
        </r>
        <r>
          <rPr>
            <sz val="9"/>
            <color indexed="81"/>
            <rFont val="Tahoma"/>
            <family val="2"/>
          </rPr>
          <t xml:space="preserve">
Se consideran las especies presentes en el área verde son de gran demanda de agua si requieren más de 9l/d/m2, por ejemplo césped (Taraxacum officinale), árboles en crecimiento o parterres con especies que no resilientes a la sequía</t>
        </r>
      </text>
    </comment>
    <comment ref="G2" authorId="0" shapeId="0" xr:uid="{52605177-69D1-49B7-8899-5B831DB2BE3C}">
      <text>
        <r>
          <rPr>
            <b/>
            <sz val="9"/>
            <color indexed="81"/>
            <rFont val="Tahoma"/>
            <family val="2"/>
          </rPr>
          <t>Admin:</t>
        </r>
        <r>
          <rPr>
            <sz val="9"/>
            <color indexed="81"/>
            <rFont val="Tahoma"/>
            <family val="2"/>
          </rPr>
          <t xml:space="preserve">
Para que un área verde urbana sea incluída en el indicador de "densidad del verde" del proyecto GiroNat, esta debe tener más de 0.5 ha, por lo que se considera una mayor priorización</t>
        </r>
      </text>
    </comment>
    <comment ref="H2" authorId="0" shapeId="0" xr:uid="{1C0B2545-2CB3-4EF6-A276-8E1E3D090821}">
      <text>
        <r>
          <rPr>
            <b/>
            <sz val="9"/>
            <color indexed="81"/>
            <rFont val="Tahoma"/>
            <family val="2"/>
          </rPr>
          <t>Admin:</t>
        </r>
        <r>
          <rPr>
            <sz val="9"/>
            <color indexed="81"/>
            <rFont val="Tahoma"/>
            <family val="2"/>
          </rPr>
          <t xml:space="preserve">
Si el área verde cumple una función en la red vial de la ciudad (divisor de avenidas, rotondas, etc.)</t>
        </r>
      </text>
    </comment>
    <comment ref="I2" authorId="0" shapeId="0" xr:uid="{6197CB07-C5DD-4F10-A2DD-C39D4F21EC59}">
      <text>
        <r>
          <rPr>
            <b/>
            <sz val="9"/>
            <color indexed="81"/>
            <rFont val="Tahoma"/>
            <family val="2"/>
          </rPr>
          <t>Admin:</t>
        </r>
        <r>
          <rPr>
            <sz val="9"/>
            <color indexed="81"/>
            <rFont val="Tahoma"/>
            <family val="2"/>
          </rPr>
          <t xml:space="preserve">
Si el área verde posee inclinaciones que faciliten el drenaje del agua a favor del área de interés</t>
        </r>
      </text>
    </comment>
    <comment ref="J2" authorId="0" shapeId="0" xr:uid="{C0E7731A-40E3-432F-86A7-B7BFF2F74624}">
      <text>
        <r>
          <rPr>
            <b/>
            <sz val="9"/>
            <color indexed="81"/>
            <rFont val="Tahoma"/>
            <family val="2"/>
          </rPr>
          <t>Admin:</t>
        </r>
        <r>
          <rPr>
            <sz val="9"/>
            <color indexed="81"/>
            <rFont val="Tahoma"/>
            <family val="2"/>
          </rPr>
          <t xml:space="preserve">
Si el área verde ya posee un embalse ya permanente o no </t>
        </r>
      </text>
    </comment>
    <comment ref="K2" authorId="0" shapeId="0" xr:uid="{47F3E422-4CFB-4A97-BE21-780EC80B0C13}">
      <text>
        <r>
          <rPr>
            <b/>
            <sz val="9"/>
            <color indexed="81"/>
            <rFont val="Tahoma"/>
            <family val="2"/>
          </rPr>
          <t>Admin:</t>
        </r>
        <r>
          <rPr>
            <sz val="9"/>
            <color indexed="81"/>
            <rFont val="Tahoma"/>
            <family val="2"/>
          </rPr>
          <t xml:space="preserve">
Se refiere a calles, techos, o cualquier superficie por el cual se pueda canalizar agua para almacenar ya sea en un tanque o en un embalse</t>
        </r>
      </text>
    </comment>
    <comment ref="L2" authorId="0" shapeId="0" xr:uid="{33D881B3-F97F-46F7-8962-B31921ABC116}">
      <text>
        <r>
          <rPr>
            <b/>
            <sz val="9"/>
            <color indexed="81"/>
            <rFont val="Tahoma"/>
            <family val="2"/>
          </rPr>
          <t>Admin:</t>
        </r>
        <r>
          <rPr>
            <sz val="9"/>
            <color indexed="81"/>
            <rFont val="Tahoma"/>
            <family val="2"/>
          </rPr>
          <t xml:space="preserve">
se refiere si en el área verde es posible tener espacio para colocar un tanque (superficial o subterráneo) o un embalse para almacenar agua </t>
        </r>
      </text>
    </comment>
    <comment ref="M2" authorId="0" shapeId="0" xr:uid="{FB65407F-B169-4DBE-A62F-A92DC3CD7978}">
      <text>
        <r>
          <rPr>
            <b/>
            <sz val="9"/>
            <color indexed="81"/>
            <rFont val="Tahoma"/>
            <family val="2"/>
          </rPr>
          <t>Admin:</t>
        </r>
        <r>
          <rPr>
            <sz val="9"/>
            <color indexed="81"/>
            <rFont val="Tahoma"/>
            <family val="2"/>
          </rPr>
          <t xml:space="preserve">
Se consideran los pozos que puedan ser reactivados</t>
        </r>
      </text>
    </comment>
    <comment ref="N2" authorId="0" shapeId="0" xr:uid="{92E958A8-E1DA-4F4A-8C94-8FE3A31B53C0}">
      <text>
        <r>
          <rPr>
            <b/>
            <sz val="9"/>
            <color indexed="81"/>
            <rFont val="Tahoma"/>
            <family val="2"/>
          </rPr>
          <t>Admin:</t>
        </r>
        <r>
          <rPr>
            <sz val="9"/>
            <color indexed="81"/>
            <rFont val="Tahoma"/>
            <family val="2"/>
          </rPr>
          <t xml:space="preserve">
se refiere a la profundidad que posea el pozo que pueda ser reactivado</t>
        </r>
      </text>
    </comment>
    <comment ref="O2" authorId="0" shapeId="0" xr:uid="{1FE2F580-7705-4A31-A103-5C326C8BF7E7}">
      <text>
        <r>
          <rPr>
            <b/>
            <sz val="9"/>
            <color indexed="81"/>
            <rFont val="Tahoma"/>
            <family val="2"/>
          </rPr>
          <t>Admin:</t>
        </r>
        <r>
          <rPr>
            <sz val="9"/>
            <color indexed="81"/>
            <rFont val="Tahoma"/>
            <family val="2"/>
          </rPr>
          <t xml:space="preserve">
Se refiere a la distancia del río más proximo al área verde (río Ter o río Onyar)</t>
        </r>
      </text>
    </comment>
    <comment ref="P2" authorId="0" shapeId="0" xr:uid="{D85DAA6F-19A1-4B72-AB07-6972DCBFC496}">
      <text>
        <r>
          <rPr>
            <b/>
            <sz val="9"/>
            <color indexed="81"/>
            <rFont val="Tahoma"/>
            <family val="2"/>
          </rPr>
          <t>Admin:</t>
        </r>
        <r>
          <rPr>
            <sz val="9"/>
            <color indexed="81"/>
            <rFont val="Tahoma"/>
            <family val="2"/>
          </rPr>
          <t xml:space="preserve">
El caudal promedio anual de los ríos</t>
        </r>
      </text>
    </comment>
    <comment ref="Q2" authorId="0" shapeId="0" xr:uid="{D2897B52-64EB-4A60-9634-17E6F0CE7F9E}">
      <text>
        <r>
          <rPr>
            <b/>
            <sz val="9"/>
            <color indexed="81"/>
            <rFont val="Tahoma"/>
            <family val="2"/>
          </rPr>
          <t>Admin:</t>
        </r>
        <r>
          <rPr>
            <sz val="9"/>
            <color indexed="81"/>
            <rFont val="Tahoma"/>
            <family val="2"/>
          </rPr>
          <t xml:space="preserve">
Se consideran tres clasificaciones de permeabilidad del suelo del área verde: 
1. baja: arcilla, limos
2. media: mezcla de arenas y arcillas
3. alta:grava y arena</t>
        </r>
      </text>
    </comment>
    <comment ref="R2" authorId="0" shapeId="0" xr:uid="{D492D575-CCEF-4D25-B1CA-6030EF5A9096}">
      <text>
        <r>
          <rPr>
            <b/>
            <sz val="9"/>
            <color indexed="81"/>
            <rFont val="Tahoma"/>
            <family val="2"/>
          </rPr>
          <t>Admin:</t>
        </r>
        <r>
          <rPr>
            <sz val="9"/>
            <color indexed="81"/>
            <rFont val="Tahoma"/>
            <family val="2"/>
          </rPr>
          <t xml:space="preserve">
Se refiere a la distancia en carretera de la Estación de Depuración de Aguas Residuales de Girona del área verde en estudio</t>
        </r>
      </text>
    </comment>
    <comment ref="S2" authorId="0" shapeId="0" xr:uid="{21BCE613-0DC6-4C04-BC68-C0A5236AD400}">
      <text>
        <r>
          <rPr>
            <b/>
            <sz val="9"/>
            <color indexed="81"/>
            <rFont val="Tahoma"/>
            <family val="2"/>
          </rPr>
          <t>Admin:</t>
        </r>
        <r>
          <rPr>
            <sz val="9"/>
            <color indexed="81"/>
            <rFont val="Tahoma"/>
            <family val="2"/>
          </rPr>
          <t xml:space="preserve">
Se refiere a si la EDAR cuenta con tratamiento cuaternario para el agua depurada a ser reutilizada según normativa vigente</t>
        </r>
      </text>
    </comment>
    <comment ref="T2" authorId="0" shapeId="0" xr:uid="{2BEF8078-BEBB-4359-B7DE-0A1D64175422}">
      <text>
        <r>
          <rPr>
            <b/>
            <sz val="9"/>
            <color indexed="81"/>
            <rFont val="Tahoma"/>
            <family val="2"/>
          </rPr>
          <t>Admin:</t>
        </r>
        <r>
          <rPr>
            <sz val="9"/>
            <color indexed="81"/>
            <rFont val="Tahoma"/>
            <family val="2"/>
          </rPr>
          <t xml:space="preserve">
Se refiere a si los edificios anexos al área verde cuentan con separación de aguas negras y aguas grises en el punto de generación</t>
        </r>
      </text>
    </comment>
    <comment ref="U2" authorId="0" shapeId="0" xr:uid="{4AC90F16-DF4B-4301-B3FE-8BED05B264C0}">
      <text>
        <r>
          <rPr>
            <b/>
            <sz val="9"/>
            <color indexed="81"/>
            <rFont val="Tahoma"/>
            <family val="2"/>
          </rPr>
          <t>Admin:</t>
        </r>
        <r>
          <rPr>
            <sz val="9"/>
            <color indexed="81"/>
            <rFont val="Tahoma"/>
            <family val="2"/>
          </rPr>
          <t xml:space="preserve">
Se refiere a si la infraestructura anexa al área verde genera un caudal promedio mayor a 1 m3/d</t>
        </r>
      </text>
    </comment>
    <comment ref="V2" authorId="0" shapeId="0" xr:uid="{F154B2E5-A48B-4B9A-85D3-6808555C1F1E}">
      <text>
        <r>
          <rPr>
            <b/>
            <sz val="9"/>
            <color indexed="81"/>
            <rFont val="Tahoma"/>
            <family val="2"/>
          </rPr>
          <t>Admin:</t>
        </r>
        <r>
          <rPr>
            <sz val="9"/>
            <color indexed="81"/>
            <rFont val="Tahoma"/>
            <family val="2"/>
          </rPr>
          <t xml:space="preserve">
Detalla ventajas de la NbS</t>
        </r>
      </text>
    </comment>
    <comment ref="W2" authorId="0" shapeId="0" xr:uid="{35B3DE7F-D83B-43D6-B168-DBCD08FBB0A7}">
      <text>
        <r>
          <rPr>
            <b/>
            <sz val="9"/>
            <color indexed="81"/>
            <rFont val="Tahoma"/>
            <family val="2"/>
          </rPr>
          <t>Admin:</t>
        </r>
        <r>
          <rPr>
            <sz val="9"/>
            <color indexed="81"/>
            <rFont val="Tahoma"/>
            <family val="2"/>
          </rPr>
          <t xml:space="preserve">
Detalla desventajas de la NbS</t>
        </r>
      </text>
    </comment>
    <comment ref="X2" authorId="0" shapeId="0" xr:uid="{4450A79E-7C55-41CC-9338-1B7141D8C1C3}">
      <text>
        <r>
          <rPr>
            <b/>
            <sz val="9"/>
            <color indexed="81"/>
            <rFont val="Tahoma"/>
            <family val="2"/>
          </rPr>
          <t>Admin:</t>
        </r>
        <r>
          <rPr>
            <sz val="9"/>
            <color indexed="81"/>
            <rFont val="Tahoma"/>
            <family val="2"/>
          </rPr>
          <t xml:space="preserve">
Estima los costos de construcción a partir de diferentes fuentes, en cada caso estos costos pueden variar debido a numerosos factores como ubicación, tecnologia, escala, usos, etc. Por lo que es un dato para fines de referencia</t>
        </r>
      </text>
    </comment>
    <comment ref="AC2" authorId="0" shapeId="0" xr:uid="{D39AD91B-59B8-4041-8301-063B879C0707}">
      <text>
        <r>
          <rPr>
            <b/>
            <sz val="9"/>
            <color indexed="81"/>
            <rFont val="Tahoma"/>
            <family val="2"/>
          </rPr>
          <t>Admin:</t>
        </r>
        <r>
          <rPr>
            <sz val="9"/>
            <color indexed="81"/>
            <rFont val="Tahoma"/>
            <family val="2"/>
          </rPr>
          <t xml:space="preserve">
Links de diferentes casos de aplicación de las NbS para aumentar la resiliencia ante el cambio climático</t>
        </r>
      </text>
    </comment>
    <comment ref="AD2" authorId="0" shapeId="0" xr:uid="{AD701A32-17E3-4D7A-96B7-1DF4AC5C8BBE}">
      <text>
        <r>
          <rPr>
            <b/>
            <sz val="9"/>
            <color indexed="81"/>
            <rFont val="Tahoma"/>
            <family val="2"/>
          </rPr>
          <t>Admin:</t>
        </r>
        <r>
          <rPr>
            <sz val="9"/>
            <color indexed="81"/>
            <rFont val="Tahoma"/>
            <family val="2"/>
          </rPr>
          <t xml:space="preserve">
Considera que la NbS promueve la biodiversidad de flora y fauna en el área verde y su conectividad con otras áreas, según información documentada</t>
        </r>
      </text>
    </comment>
    <comment ref="AE2" authorId="0" shapeId="0" xr:uid="{EFAF8921-EFF8-44E0-BB9D-6F13710D3517}">
      <text>
        <r>
          <rPr>
            <b/>
            <sz val="9"/>
            <color indexed="81"/>
            <rFont val="Tahoma"/>
            <family val="2"/>
          </rPr>
          <t>Admin:</t>
        </r>
        <r>
          <rPr>
            <sz val="9"/>
            <color indexed="81"/>
            <rFont val="Tahoma"/>
            <family val="2"/>
          </rPr>
          <t xml:space="preserve">
Considera que la NbS reduce los grados de temperatura en los puntos de calor urbanos según información documentada</t>
        </r>
      </text>
    </comment>
    <comment ref="AF2" authorId="0" shapeId="0" xr:uid="{8AACE04C-5FCE-4E91-8483-2DEAE304CE38}">
      <text>
        <r>
          <rPr>
            <b/>
            <sz val="9"/>
            <color indexed="81"/>
            <rFont val="Tahoma"/>
            <family val="2"/>
          </rPr>
          <t>Admin:</t>
        </r>
        <r>
          <rPr>
            <sz val="9"/>
            <color indexed="81"/>
            <rFont val="Tahoma"/>
            <family val="2"/>
          </rPr>
          <t xml:space="preserve">
Considera que la NbS también aumenta la resiliencia ante inundaciones según información documentada</t>
        </r>
      </text>
    </comment>
    <comment ref="AG2" authorId="0" shapeId="0" xr:uid="{AA88EE61-674C-40B7-854A-633A2DA68C44}">
      <text>
        <r>
          <rPr>
            <b/>
            <sz val="9"/>
            <color indexed="81"/>
            <rFont val="Tahoma"/>
            <family val="2"/>
          </rPr>
          <t>Admin:</t>
        </r>
        <r>
          <rPr>
            <sz val="9"/>
            <color indexed="81"/>
            <rFont val="Tahoma"/>
            <family val="2"/>
          </rPr>
          <t xml:space="preserve">
Considera que la NbS posee beneficios DIRECTOS a la población que utiliza el área verde según información documentada</t>
        </r>
      </text>
    </comment>
    <comment ref="AH2" authorId="0" shapeId="0" xr:uid="{7CC251E2-2269-4D75-9CEE-217D6F3ABE01}">
      <text>
        <r>
          <rPr>
            <b/>
            <sz val="9"/>
            <color indexed="81"/>
            <rFont val="Tahoma"/>
            <family val="2"/>
          </rPr>
          <t>Admin:</t>
        </r>
        <r>
          <rPr>
            <sz val="9"/>
            <color indexed="81"/>
            <rFont val="Tahoma"/>
            <family val="2"/>
          </rPr>
          <t xml:space="preserve">
Pondera los beneficios ambientales de NbS, incluyendo la resliencia ante sequía, según las características selleccionadas por el usuario</t>
        </r>
      </text>
    </comment>
    <comment ref="AI2" authorId="0" shapeId="0" xr:uid="{A1496EBD-BBE3-41AE-958F-F01E96834434}">
      <text>
        <r>
          <rPr>
            <b/>
            <sz val="9"/>
            <color indexed="81"/>
            <rFont val="Tahoma"/>
            <family val="2"/>
          </rPr>
          <t>Admin:</t>
        </r>
        <r>
          <rPr>
            <sz val="9"/>
            <color indexed="81"/>
            <rFont val="Tahoma"/>
            <family val="2"/>
          </rPr>
          <t xml:space="preserve">
Pondera los beneficios sociales DIRECTOS que pueden ser obtenidos del área verde según las características selleccionadas por el usuario</t>
        </r>
      </text>
    </comment>
    <comment ref="AJ2" authorId="0" shapeId="0" xr:uid="{B73650FE-195F-4C52-A112-62CDA82C5C14}">
      <text>
        <r>
          <rPr>
            <b/>
            <sz val="9"/>
            <color indexed="81"/>
            <rFont val="Tahoma"/>
            <family val="2"/>
          </rPr>
          <t>Admin:</t>
        </r>
        <r>
          <rPr>
            <sz val="9"/>
            <color indexed="81"/>
            <rFont val="Tahoma"/>
            <family val="2"/>
          </rPr>
          <t xml:space="preserve">
Pondera la sostenibilidad económica según el presupuesto indicado por el usuario de la herramienta</t>
        </r>
      </text>
    </comment>
    <comment ref="X12" authorId="0" shapeId="0" xr:uid="{BF06AF73-E463-4572-A8C2-865B180AF78F}">
      <text>
        <r>
          <rPr>
            <b/>
            <sz val="9"/>
            <color indexed="81"/>
            <rFont val="Tahoma"/>
            <charset val="1"/>
          </rPr>
          <t>Admin:</t>
        </r>
        <r>
          <rPr>
            <sz val="9"/>
            <color indexed="81"/>
            <rFont val="Tahoma"/>
            <charset val="1"/>
          </rPr>
          <t xml:space="preserve">
costo a 30 años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W1" authorId="0" shapeId="0" xr:uid="{2EB3B89E-4411-4056-BB3D-6E5C3FA616A2}">
      <text>
        <r>
          <rPr>
            <b/>
            <sz val="9"/>
            <color indexed="81"/>
            <rFont val="Tahoma"/>
            <family val="2"/>
          </rPr>
          <t>Admin:</t>
        </r>
        <r>
          <rPr>
            <sz val="9"/>
            <color indexed="81"/>
            <rFont val="Tahoma"/>
            <family val="2"/>
          </rPr>
          <t xml:space="preserve">
escala del 1-5</t>
        </r>
      </text>
    </comment>
    <comment ref="C5" authorId="0" shapeId="0" xr:uid="{48C508DF-85FA-4693-8F54-0CE978870A78}">
      <text>
        <r>
          <rPr>
            <b/>
            <sz val="9"/>
            <color indexed="81"/>
            <rFont val="Tahoma"/>
            <family val="2"/>
          </rPr>
          <t>Admin:</t>
        </r>
        <r>
          <rPr>
            <sz val="9"/>
            <color indexed="81"/>
            <rFont val="Tahoma"/>
            <family val="2"/>
          </rPr>
          <t xml:space="preserve">
SUDS</t>
        </r>
      </text>
    </comment>
    <comment ref="C21" authorId="0" shapeId="0" xr:uid="{72D02D61-962B-4223-9B22-F14AF1ED7E7A}">
      <text>
        <r>
          <rPr>
            <b/>
            <sz val="9"/>
            <color indexed="81"/>
            <rFont val="Tahoma"/>
            <family val="2"/>
          </rPr>
          <t>Admin:</t>
        </r>
        <r>
          <rPr>
            <sz val="9"/>
            <color indexed="81"/>
            <rFont val="Tahoma"/>
            <family val="2"/>
          </rPr>
          <t xml:space="preserve">
POZO</t>
        </r>
      </text>
    </comment>
    <comment ref="C29" authorId="0" shapeId="0" xr:uid="{1C20C1B7-9550-4EB1-979E-F17F6053B954}">
      <text>
        <r>
          <rPr>
            <b/>
            <sz val="9"/>
            <color indexed="81"/>
            <rFont val="Tahoma"/>
            <family val="2"/>
          </rPr>
          <t>Admin:</t>
        </r>
        <r>
          <rPr>
            <sz val="9"/>
            <color indexed="81"/>
            <rFont val="Tahoma"/>
            <family val="2"/>
          </rPr>
          <t xml:space="preserve">
regenerada</t>
        </r>
      </text>
    </comment>
    <comment ref="C30" authorId="0" shapeId="0" xr:uid="{BD3B0862-FB4A-4C31-9FA8-067FBE2446F9}">
      <text>
        <r>
          <rPr>
            <b/>
            <sz val="9"/>
            <color indexed="81"/>
            <rFont val="Tahoma"/>
            <family val="2"/>
          </rPr>
          <t>Admin:</t>
        </r>
        <r>
          <rPr>
            <sz val="9"/>
            <color indexed="81"/>
            <rFont val="Tahoma"/>
            <family val="2"/>
          </rPr>
          <t xml:space="preserve">
TECHO</t>
        </r>
      </text>
    </comment>
    <comment ref="C50" authorId="0" shapeId="0" xr:uid="{4B102466-E11D-4019-94A3-A42EAAB75ACC}">
      <text>
        <r>
          <rPr>
            <b/>
            <sz val="9"/>
            <color indexed="81"/>
            <rFont val="Tahoma"/>
            <family val="2"/>
          </rPr>
          <t>Admin:</t>
        </r>
        <r>
          <rPr>
            <sz val="9"/>
            <color indexed="81"/>
            <rFont val="Tahoma"/>
            <family val="2"/>
          </rPr>
          <t xml:space="preserve">
verificar in situ los usos</t>
        </r>
      </text>
    </comment>
    <comment ref="C60" authorId="0" shapeId="0" xr:uid="{FDCAD039-D071-40C1-8EF3-27D7F6B1D069}">
      <text>
        <r>
          <rPr>
            <b/>
            <sz val="9"/>
            <color indexed="81"/>
            <rFont val="Tahoma"/>
            <family val="2"/>
          </rPr>
          <t>Admin:</t>
        </r>
        <r>
          <rPr>
            <sz val="9"/>
            <color indexed="81"/>
            <rFont val="Tahoma"/>
            <family val="2"/>
          </rPr>
          <t xml:space="preserve">
regenerada</t>
        </r>
      </text>
    </comment>
    <comment ref="C65" authorId="0" shapeId="0" xr:uid="{2943EE3A-DA3B-4B7D-B348-D88E783C9810}">
      <text>
        <r>
          <rPr>
            <b/>
            <sz val="9"/>
            <color indexed="81"/>
            <rFont val="Tahoma"/>
            <family val="2"/>
          </rPr>
          <t>Admin:</t>
        </r>
        <r>
          <rPr>
            <sz val="9"/>
            <color indexed="81"/>
            <rFont val="Tahoma"/>
            <family val="2"/>
          </rPr>
          <t xml:space="preserve">
pozo</t>
        </r>
      </text>
    </comment>
    <comment ref="C88" authorId="0" shapeId="0" xr:uid="{95C5E282-6CA2-497D-AFAA-EF14AAE8DD95}">
      <text>
        <r>
          <rPr>
            <b/>
            <sz val="9"/>
            <color indexed="81"/>
            <rFont val="Tahoma"/>
            <family val="2"/>
          </rPr>
          <t>Admin:</t>
        </r>
        <r>
          <rPr>
            <sz val="9"/>
            <color indexed="81"/>
            <rFont val="Tahoma"/>
            <family val="2"/>
          </rPr>
          <t xml:space="preserve">
REUSO</t>
        </r>
      </text>
    </comment>
    <comment ref="B113" authorId="0" shapeId="0" xr:uid="{9B1B355E-EFB2-48F4-BAF0-A14652D6B4F7}">
      <text>
        <r>
          <rPr>
            <b/>
            <sz val="9"/>
            <color indexed="81"/>
            <rFont val="Tahoma"/>
            <family val="2"/>
          </rPr>
          <t>Admin:</t>
        </r>
        <r>
          <rPr>
            <sz val="9"/>
            <color indexed="81"/>
            <rFont val="Tahoma"/>
            <family val="2"/>
          </rPr>
          <t xml:space="preserve">
IR A REVISAR RIEGO PARC VUSTA ALEGRA</t>
        </r>
      </text>
    </comment>
  </commentList>
</comments>
</file>

<file path=xl/sharedStrings.xml><?xml version="1.0" encoding="utf-8"?>
<sst xmlns="http://schemas.openxmlformats.org/spreadsheetml/2006/main" count="1587" uniqueCount="510">
  <si>
    <t>Co-beneficios</t>
  </si>
  <si>
    <t>Biodiversidad</t>
  </si>
  <si>
    <t>Reducción de calor</t>
  </si>
  <si>
    <t>Resiliencia ante inundaciones</t>
  </si>
  <si>
    <t>Características del área verde</t>
  </si>
  <si>
    <t>si</t>
  </si>
  <si>
    <t>Nueva construcción</t>
  </si>
  <si>
    <t>no</t>
  </si>
  <si>
    <t>Escala</t>
  </si>
  <si>
    <t>calle</t>
  </si>
  <si>
    <t>ciudad</t>
  </si>
  <si>
    <t>&lt;0.5 ha</t>
  </si>
  <si>
    <t>barrio</t>
  </si>
  <si>
    <t>Posee plantas de gran demanda de agua</t>
  </si>
  <si>
    <t>Forman parte de la infraestructura vial</t>
  </si>
  <si>
    <t>pendiente en dirección al área de interés</t>
  </si>
  <si>
    <t>&gt;0.5 ha</t>
  </si>
  <si>
    <t xml:space="preserve">embalses existentes </t>
  </si>
  <si>
    <t>disponibilidad de superficie para captación de agua de agua de lluvia</t>
  </si>
  <si>
    <t>&gt;2%</t>
  </si>
  <si>
    <t>disponibilidad de superficie para almacenamiento de agua de lluvia</t>
  </si>
  <si>
    <t>&lt;2%</t>
  </si>
  <si>
    <t>pozo disponible (*)</t>
  </si>
  <si>
    <t>10-30 m</t>
  </si>
  <si>
    <t>Profundidad del pozo</t>
  </si>
  <si>
    <t>100-200 m</t>
  </si>
  <si>
    <t xml:space="preserve">Distancia del río del área de interés </t>
  </si>
  <si>
    <t>&gt;500 m</t>
  </si>
  <si>
    <t>Caudal del río</t>
  </si>
  <si>
    <t>&lt;500 m</t>
  </si>
  <si>
    <t>Permeabilidad del suelo</t>
  </si>
  <si>
    <t>&gt;3 m/s</t>
  </si>
  <si>
    <t>Distancia de EDAR del área de interés</t>
  </si>
  <si>
    <t>&lt;3 m/s</t>
  </si>
  <si>
    <t>Etapas de tratamiento de EDAR</t>
  </si>
  <si>
    <t>baja</t>
  </si>
  <si>
    <t>Infraestructura con separación de aguas residuales</t>
  </si>
  <si>
    <t>media</t>
  </si>
  <si>
    <t xml:space="preserve">Caudal de aguas grises generadas en infraestructuras cercanas </t>
  </si>
  <si>
    <t>&gt;1m3/d</t>
  </si>
  <si>
    <t>alta</t>
  </si>
  <si>
    <t>secundario + terciario</t>
  </si>
  <si>
    <t>secundario + terciario + cuaternario</t>
  </si>
  <si>
    <t>&lt;1m3/d</t>
  </si>
  <si>
    <t>Nombre</t>
  </si>
  <si>
    <t>Score</t>
  </si>
  <si>
    <t>Ventajas</t>
  </si>
  <si>
    <t>Desventajas</t>
  </si>
  <si>
    <t xml:space="preserve">Caso de estudio </t>
  </si>
  <si>
    <t>Consideraciones de implementación</t>
  </si>
  <si>
    <t>Mejora la participación ciudadana
Disminuye costos para el sistema de tuberías
Disminuye la presión a la planta de depuración</t>
  </si>
  <si>
    <t>Aumenta los costos de implementación por el sistema de tratamiento 
Requiere que la insfraestructura posea redes separadas 
Es fundamental la capacitación a los ususarios para correcto funcionamiento del sistema de tratamiento</t>
  </si>
  <si>
    <t>CSBE, 2003
Ayuntamiento de Sant Cugat del Vallès, 2018
E. Rozos, C. Makropoulos,  &amp; C. Maksimović, 2013</t>
  </si>
  <si>
    <t>Caudal de aguas grises generadas en la infraestructura según el tipo de actividad desarrollada y el número de usuarios</t>
  </si>
  <si>
    <t>Calidad del agua gris generada</t>
  </si>
  <si>
    <t>Sistema de tratamiento a implementar: Pared verde, filtros horizontales</t>
  </si>
  <si>
    <t>Es una solución factible para áreas con grandes necesidades hídricas
Disminuye los costos de energía por sistemas de bombeo
Se pueden implementar sistemas de tratamiento compactos</t>
  </si>
  <si>
    <t>Son necesarias obras hidraúlicas en los sistemas de alcantarillado
Podrían ser necesarios solicitud de permisos 
Aumenta los costos de implementación por el sistema de tratamiento</t>
  </si>
  <si>
    <t>M. González-Viar, R. Díez-Montero, et. al, 2016
Mukherjee Mahuaa; Wickramasinghe, Deepthib, et. al, 2022</t>
  </si>
  <si>
    <t>Conexión al sistema central de aguas residuales</t>
  </si>
  <si>
    <t>Sistema de tratamiento a implementar: MBR, osmosis, filtración</t>
  </si>
  <si>
    <t>Gestión de los residuos generados en el tratamiento</t>
  </si>
  <si>
    <t>Se adapta facilmente a las áreas verdes con funciones viales
Aumenta la biodiversidad 
Usa poco espacio en el área verde</t>
  </si>
  <si>
    <t>Se deben utilizar plantas altamente resilientes
Se requiere modificar el sistema de drenaje pluvial
Requiere de diferentes estructuras de suelo</t>
  </si>
  <si>
    <t>Culemborg, 2000
Boogaard et. al, 2006</t>
  </si>
  <si>
    <t>se deben usar plantas que se adapten a los niveles fluctuantes de agua y posean bajos valores de evapotranspiración</t>
  </si>
  <si>
    <t>Pendiente 1:3</t>
  </si>
  <si>
    <t>No almacena el agua largo períodos de tiempo, pero retiene el agua y la libera gradualmente, disminuyendo las necesidades hídricas</t>
  </si>
  <si>
    <t>El sistema posee infraestructuras hidraúlicas muy sencillas
Se adapta a la disponibilidad de área de captación
Se puede obtener agua de buena calidad para el riego</t>
  </si>
  <si>
    <t>Aunque se tenga suficiente área de captación, el almacenamiento es el que limita la eficiencia del sistema
Se requiere de un sistema de bombeo</t>
  </si>
  <si>
    <t>Ruangpan, L., Vojinovic, Z et. al, 2020 
Floris Cornelis Boogaard, 2020</t>
  </si>
  <si>
    <t>Se debe utilizar datos metereológicos de la estación más cercana y de ser posible escenarios climáticos a futuro</t>
  </si>
  <si>
    <t>Para cubrir el 100% de la demanda debe poder almacenar agua suficiente para abastecer en el mes con menor precipitación</t>
  </si>
  <si>
    <t>Se debe complementar con un sistema de filtración del agua a la entrada al tanque más cloración u aireación para eliminar olores</t>
  </si>
  <si>
    <t>Aumenta la biodiversidad 
Aumenta el valor estético y fomenta actividades recreativas en el área
Posee cobeneficio de disminuir la temperatura en la zona</t>
  </si>
  <si>
    <t>Las pérdidas por evapotranspiración son mayores
Requiere de tratamiento de microfiltracion para ser compatible con riego por goteo</t>
  </si>
  <si>
    <t>Atelier Dreiseitl, 2007</t>
  </si>
  <si>
    <t>Requiere de una proporción 4:1 entre área de captación y el embalse para que tenga agua en época seca</t>
  </si>
  <si>
    <t>El tamaño del embalse debe considerar las necesidades de riego y el volumen a mantener en el embalse con la EPT</t>
  </si>
  <si>
    <t>Se debe complementar con sistemas de tratamiento antes del sistema de riego</t>
  </si>
  <si>
    <t>Aunque se tenga suficiente área de captación, el almacenamiento es el que limita la eficiencia del sistema
Se requiere de un sistema de bombeo podría aumentar los costos</t>
  </si>
  <si>
    <t>Ruangpan, L., Vojinovic, Z et. al, 2020 
Pötz H. &amp; Bleuzé P et. al, 2009
Jo Lindsay &amp; Sian Supski, 2017</t>
  </si>
  <si>
    <t>Aumenta la biodiversidad 
Aumenta el valor estético y fomenta actividades recreativas en el área
Compatible con otros usos por buena calidad del agua obtenida</t>
  </si>
  <si>
    <t xml:space="preserve">Las pérdidas por evapotranspiración son mayores
</t>
  </si>
  <si>
    <t>Dreiseitl H. &amp; Grau D, 2006</t>
  </si>
  <si>
    <t>Se conectar a un sistema de almacenamiento subterráneo antes del embalse o despues (cambiará la ubicación del sistema de trataimento</t>
  </si>
  <si>
    <t>bajos costos de bombeo por la profundidad del pozo
disponibilidad de pozos antiguos que se pueden reabilitar
agua apta para riego</t>
  </si>
  <si>
    <t>Se desconoce a profundidad la relación con el río Ter
Extracción actual del acuífero sin manejo integral, influye en la disponibilidad y l hace susceptible a contaminación
se requiere permiso del ACA</t>
  </si>
  <si>
    <t>Mas-Pla, 2015</t>
  </si>
  <si>
    <t>Se debe realizar un balance hidrogeológico</t>
  </si>
  <si>
    <t>Definir un plan integral de gestión del recurso para limitar los usos que se le darán al acuífero</t>
  </si>
  <si>
    <t>Es importante realizar una prueba de bombeo para definir el áerea de influencia y análisis de calidad de agua</t>
  </si>
  <si>
    <t>Agua de buena calidad
el acuífero no posee fluctuaciones en la época seca
No es suceptible a la contaminación</t>
  </si>
  <si>
    <t>No se poseen pozos de esa profundidad en Girona
Altos costos de perforación
No se cuenta con estudio hidrogeológico
Se requiere permiso del ACA</t>
  </si>
  <si>
    <t>Cierra el ciclo del agua urbano
Posee la calidad necesaria para el riego
Es una fuente disponible durante todo el año</t>
  </si>
  <si>
    <t xml:space="preserve">Legislación nacional sobre reuso de agua se encuentra en cambios 
Aumenta costes de transporte
Aumenta los costes de personal por la gestión del tiempo de transporte </t>
  </si>
  <si>
    <t>Gencat, 2023
Peters et. al, 2022</t>
  </si>
  <si>
    <t>Se debe considerar tratamiento cuaternario por posibles cambios en la legislación</t>
  </si>
  <si>
    <t>Es compatible con sistemas de almacenamiento</t>
  </si>
  <si>
    <t>Monitoreo de la calidad del agua para evitar afectaciones en los sistema de riego por goteo</t>
  </si>
  <si>
    <t>Disminuye considerablmente las necesidades de riego
Disminuyen los costos de mantenimiento
Aumentan la biodiversidad si son distribuidas correctamente</t>
  </si>
  <si>
    <t>Poca aceptación por parte de la población
Aumentar riesgos de incendios en época seca</t>
  </si>
  <si>
    <t>Chui, SCK, 2014
Razieh, Paço, et. al, 2022
Mukherjee; Wickramasinghe, et. al, 2022</t>
  </si>
  <si>
    <t>Los costos iniciales por cambio de especies más reslientes pueden ser elevados</t>
  </si>
  <si>
    <t>Se debe acompañar de campañas de sensibilización de la ciudad</t>
  </si>
  <si>
    <t>Se deben sembrar en conjunto plantas de floración de periódos variables para mantener valor paisajístico urbano</t>
  </si>
  <si>
    <t>Disminuye las necesidades de riego
Mejora la salud de las plantas
Aumenta la Biodiversidad</t>
  </si>
  <si>
    <t>Altos costos en áreas ya establecidas por cambios de sustratos</t>
  </si>
  <si>
    <t>Marchionni, Fatichib. et. al, 2021 
Mukherjee,  Deepthib, et. al. 2022</t>
  </si>
  <si>
    <t>Debe mejorar la infiltración y a la vez retener por más tiempo el agua en la zona de las raices de las plantas</t>
  </si>
  <si>
    <t>Se pueden utilizar sustratos propios de las zona</t>
  </si>
  <si>
    <t>Se deben considerar variables como capacidad de campo y cieficiente de almacenamiento para definir las capas de sustrato</t>
  </si>
  <si>
    <t>Se utiliza un recurso ya disponible
mejora la biodiversidad del área
disminye las temperaturas de la zona</t>
  </si>
  <si>
    <t>No compatible con ríos de estiajes largos
Podría afectar al caudal ecológico
Podría ser necesario solicitud de permisos</t>
  </si>
  <si>
    <t>Urrutia, 2022
Atelier Dreiseitl, 2007</t>
  </si>
  <si>
    <t>Análisis de calidad de agua</t>
  </si>
  <si>
    <t>Caudal ecológico</t>
  </si>
  <si>
    <t>Sistema de bombeo y riego automatizado</t>
  </si>
  <si>
    <t>Mejora el almacenamiento de agua
Incrementa el aprovechamiento del recurso por parte de los árboles
Aumenta la biodiversidad</t>
  </si>
  <si>
    <t>Limitada aceptación por parte de la población 
La mayoría de las plantas son de ciclos anuales</t>
  </si>
  <si>
    <t>Rejinder, 2021</t>
  </si>
  <si>
    <t>Compatible con uso de especies resistentes a la sequía</t>
  </si>
  <si>
    <t>Tratamiento descentralizado de agua
Aporta paisajismo al área
compatible con aguas residuales y aguas pluviales</t>
  </si>
  <si>
    <t>Requiere de gran espacio para desarrollarse
Poca aceptación de la población en caso de mantener agua en la superficie
Si se realiza con agua residual debe considerarse especies de plantas y sustratos que promuevan la eliminación de N y P</t>
  </si>
  <si>
    <t>Pötz H. &amp; Bleuzé P, 2009
Teodoro Semeraro (2019)
Ferreira, Kašanin-Grubin et. al, 2023</t>
  </si>
  <si>
    <t>Agua resultante posee calidad requerida para riego</t>
  </si>
  <si>
    <t>Considerar la carga hidraúlica para el dimensionamiento</t>
  </si>
  <si>
    <t>Considerar el uso de especies autóctonas y sustratos de bajo costos</t>
  </si>
  <si>
    <t>Suelen ser de menor tamaño que los Bioswales, por lo que se adapta a pequeñas áreas verdes
disminuye las necesidades hídricas al aumentar el tiempo de drenaje
aceptación social ya que la disposición del sustrato evita acumulación de agua en la superficie</t>
  </si>
  <si>
    <t>Requiere de cambios en los sistemas de drenaje viales
No mantienen agua en los períodos secos 
Se deben utilizar plantas con resiliencia a los cambios de humedad de suelo</t>
  </si>
  <si>
    <t>Rizo, 2020</t>
  </si>
  <si>
    <t>El área y la profundidad del área verde debe satisfacer la escorrentía superficial resultante del área de captación</t>
  </si>
  <si>
    <t>Es recomendable realizar de la mano con plantas qur sean resilientes con cambios en la humedad del suelo</t>
  </si>
  <si>
    <t>Se desarrolla con plantas autóctonas de la región
Poseen pocos o ningún requerimiento hídrico
Aumentan la biodiversidad y la polinización</t>
  </si>
  <si>
    <t xml:space="preserve">En su mayoría son especies anuales o perennes que en invierno pierden sus hojas y tallos. 
Poca aceptación por parte de la población 
No es conveniente utilizar en áreas que pueden dificultar la visibilidad en las vías </t>
  </si>
  <si>
    <t xml:space="preserve">LandLab, 2016
</t>
  </si>
  <si>
    <t>Debe ir acompañado de concientización a la población sobre los ciclos naturales de los arbustos mediterráneaos</t>
  </si>
  <si>
    <t>Ayudan a satisfacer las necesidades hídricas cuando las precipitaciones son en grandes cantidades pero en intérvalos largos
Se ajustan a todos los tamaños 
No requieren espacio sobre el suelo</t>
  </si>
  <si>
    <t xml:space="preserve">No garantizan que en época seca aún se tenga humedad en el suelo
Requiere de mantenimiento periódico
</t>
  </si>
  <si>
    <t>Plaat &amp; Koning, 2022</t>
  </si>
  <si>
    <t>Se deben considerar la precipitación acumulada día</t>
  </si>
  <si>
    <t>Se mejora la eficiencia del sistema de filtración con sistemas de automatización, para regular los niveles y mantener la humedad requerida por las zonas de riego</t>
  </si>
  <si>
    <t>Se puede utilizar una gran variedad de cubiertas de bajo costo (cortezas, hojas etc.)
Previene la desecación 
Aumenta la capacidad de adsorción del suelo beneficiando la actividad biológica del suelo</t>
  </si>
  <si>
    <t>Requiere de mantenimiento contínuo
Poca aceptación de la población por la reproducción de vectores en época húmeda
Si se utiliza el mulch inadecuado puede alterar las características químicas del suelo</t>
  </si>
  <si>
    <t>Alvarez, 2021</t>
  </si>
  <si>
    <t>Debe ser adaptado a las necesidades hídricas de las plantas</t>
  </si>
  <si>
    <t>Se debe acompañar de un plan de mantenimiento con la brigada</t>
  </si>
  <si>
    <t>Garantiza la disponibilidad de agua en época seca
Es una solución a largo plazo
es compatible con otros usos para el agua almacenada</t>
  </si>
  <si>
    <t>Altos costos de instalación 
Requiere sistema de aireación o cloración para el agua
Son generalmente obras civiles grandes</t>
  </si>
  <si>
    <t>ONU-HABITAT, 2018
Chan, Griffiths, Higgitt et. al, 2010</t>
  </si>
  <si>
    <t>Se debe realizar un análisis hidraúlico con eventos de precipitaciones con retornos de 10 hasta 30 años</t>
  </si>
  <si>
    <t>Se debe valorar a partir de un análisis hidrogeologico cualquier incidente con el flujo del agua subterránea</t>
  </si>
  <si>
    <t>Debe aplicarse sistema de tratamiento al agua</t>
  </si>
  <si>
    <t>Disminuyen las necesidades hídricas 
Promueve la polinización y biodiversidad 
Ayuda a disminuir el riesgo de inundación</t>
  </si>
  <si>
    <t>Requiere de cambios en las pendientes de los drenajes viales
No garantiza la disponibilidad de agua en la época seca</t>
  </si>
  <si>
    <t>Hamburg, s.f</t>
  </si>
  <si>
    <t>Se debe diseñar área de captación en proporción con la profundidad del área de infiltración</t>
  </si>
  <si>
    <t xml:space="preserve">La granulometría de los lechos deben colocarse de menor a mayor para aumentar el tiempo de retención </t>
  </si>
  <si>
    <t>Aumenta el volumen de captación en una misma área en comparación con los sistemas tradicionales
Garantiza la disponibilidad de agua en época seca
Compatible con otros usos de agua</t>
  </si>
  <si>
    <t>Mejor aplicar en edificaciones nuevas 
La infraestructura debe poder soportar la carga añadido por el agua
Costos elevados</t>
  </si>
  <si>
    <t>RESILIO s.f</t>
  </si>
  <si>
    <t xml:space="preserve"> Es necesario drenar el agua para crear suficiente capacidad de almacenamiento a tiempo para la próxima lluvia.</t>
  </si>
  <si>
    <t>Es aconsejable desarrollar con sistema de automatización para la previsión meteorológica y descargara el agua antes de la próxima lluvia</t>
  </si>
  <si>
    <t>Copatible con la aplicación de techos verdes</t>
  </si>
  <si>
    <t xml:space="preserve">Es el método mas eficaz para el ahorro de agua 
Mantiene la humedad constante del suelo
Se puede ajustar según las demandas de las plantas </t>
  </si>
  <si>
    <t>Según la extensión del área verde, podrían elevar los costos de instalaciónn 
Requiere de capacitación para los operarios
Requiere de mantenimiento regular</t>
  </si>
  <si>
    <t>Mohamadzade, Gheysari &amp; Kiani, 2021</t>
  </si>
  <si>
    <t>Se debe realizar una análisis de las especies de plantas a regar</t>
  </si>
  <si>
    <t>Sistemas de riego por goteo y aspersión son ampliamente usados con automatización</t>
  </si>
  <si>
    <t>Mejora el almacenamiento de agua
Incrementa el aprovechamiento del recurso por parte de los árboles
Mantien por más tiempo la humedad en el suelo</t>
  </si>
  <si>
    <t>Se desarrolla en plantaciones nuevas de árboles
Debe ajustarse al crecimiento previsto de las raíces de los árboles</t>
  </si>
  <si>
    <t> GreenBlue Urban Ltd, 2017</t>
  </si>
  <si>
    <t>Preferible realizar una planificación previa a la construcción de las calles y andenes</t>
  </si>
  <si>
    <t>Se realiza una redirección de los canales hacia las bases de los árboles</t>
  </si>
  <si>
    <t>El sistema de drenaje debe diseñarse ajustado a eventos de precipitaciones de al menos 5 años de retornos para evitar daños en las insfraestructuras viales</t>
  </si>
  <si>
    <t xml:space="preserve">Es una solución a largo plazo
Disminuye las cargas hidraúlicas a las estaciones de depuración 
Facilita la reutilización del agua al mantener la calidad </t>
  </si>
  <si>
    <t xml:space="preserve">Elevado costos para las obras civiles 
Poca aceptación por parte de las municipalidades
</t>
  </si>
  <si>
    <t>Lottering, Plessis &amp; Donaldson, 2014
Morison &amp; Brown, 2011
Coutts, 2012
Marchionni, Fatichib. et. al, 2021</t>
  </si>
  <si>
    <t>Se recomienda que los planes de desarrollo urbano sea obligatorio la separación de las aguas de las nuevas edificaciones</t>
  </si>
  <si>
    <t xml:space="preserve">Se debe realizar una planificación urbana integral para disminuir en la medida de lo posible la aportación de agua pluvial a los sistemas de saneamiento. </t>
  </si>
  <si>
    <t>Estos cambios aumentarán la concentración de los contaminantes en las aguas residuales urbanas, lo que se debe considerar en las etapas de tratamiento de las EDAR</t>
  </si>
  <si>
    <t>Resiliencia ante inundaciones pluviales</t>
  </si>
  <si>
    <t>Ambiental</t>
  </si>
  <si>
    <t>Social</t>
  </si>
  <si>
    <t>Económica</t>
  </si>
  <si>
    <t>Ponderación</t>
  </si>
  <si>
    <t>Plantas con gran demanda</t>
  </si>
  <si>
    <t xml:space="preserve">área de riego &lt;0.5 ha </t>
  </si>
  <si>
    <t>Forma parte de infraestructura vial</t>
  </si>
  <si>
    <t>pendiente &gt; 2% en dirección al área</t>
  </si>
  <si>
    <t>embalses existentes</t>
  </si>
  <si>
    <t>pozo disponible</t>
  </si>
  <si>
    <t>Distancia del río del área de interés &lt;500m</t>
  </si>
  <si>
    <t>Río con Q&gt;3m/s</t>
  </si>
  <si>
    <t>Permeabilidad</t>
  </si>
  <si>
    <t>Distancia de la EDAR &lt;5km</t>
  </si>
  <si>
    <t>EDAR con tratamiento cuaternario</t>
  </si>
  <si>
    <t>Edificio con generación de aguas grises Q&gt;1 m3/d</t>
  </si>
  <si>
    <t>Reutilización aguas grises de edificios</t>
  </si>
  <si>
    <t>n/a</t>
  </si>
  <si>
    <t>baja, media, alta</t>
  </si>
  <si>
    <t>DEWAST - municipal</t>
  </si>
  <si>
    <t>media, alta</t>
  </si>
  <si>
    <t>Drenaje pluvial - Depósito subterráneo almacenamiento de agua</t>
  </si>
  <si>
    <t>barrio, calle</t>
  </si>
  <si>
    <t>Drenaje pluvial - Embalse de almacenamiento de agua</t>
  </si>
  <si>
    <t>Captación de agua de lluvia techo-embalses</t>
  </si>
  <si>
    <t>Captación de agua de lluvia techo-depósito</t>
  </si>
  <si>
    <t xml:space="preserve">Extracción de agua del acuífero aluvial </t>
  </si>
  <si>
    <t>ciudad, barrio</t>
  </si>
  <si>
    <t>10-30</t>
  </si>
  <si>
    <t>Extracción de agua del acuífero cuaternario</t>
  </si>
  <si>
    <t>100-200</t>
  </si>
  <si>
    <t xml:space="preserve">Agua de depuradora </t>
  </si>
  <si>
    <t>Cambio a especies con poca demanda de agua</t>
  </si>
  <si>
    <t>ciudad, barrio, calle</t>
  </si>
  <si>
    <t>Aumento de capacidad de retención del suelo</t>
  </si>
  <si>
    <t xml:space="preserve">Canalización de agua superficial </t>
  </si>
  <si>
    <t>Small plots of green (jardines al pie del árbol)</t>
  </si>
  <si>
    <t>Humedales urbanos de flujo Vertical/Horizontal</t>
  </si>
  <si>
    <t>Canales de retención temporal</t>
  </si>
  <si>
    <t>Cambio a Campos de hierba y prados de flores.</t>
  </si>
  <si>
    <t>Drenajes y tanques de infiltración - sistemas de almacenamiento temporal</t>
  </si>
  <si>
    <t>Almacenamiento de agua pluvial debajo de edificios</t>
  </si>
  <si>
    <t xml:space="preserve">Franjas de infiltración urbanas </t>
  </si>
  <si>
    <t>Water roofs</t>
  </si>
  <si>
    <t>Riego automatizado</t>
  </si>
  <si>
    <t>Tree cells</t>
  </si>
  <si>
    <t>Alternativa</t>
  </si>
  <si>
    <t xml:space="preserve">Social </t>
  </si>
  <si>
    <t>Sociales</t>
  </si>
  <si>
    <t>(*) Puntaje basado en las características del proyecto aportado por el usuario, recopilación bibliográfica y estudios de casos</t>
  </si>
  <si>
    <t>Disminución evapotranspiración del suelo</t>
  </si>
  <si>
    <t>Sistemas de alcantarillado separados</t>
  </si>
  <si>
    <t>Costo</t>
  </si>
  <si>
    <t>CARACTERÍSTICAS DEL ÁREA VERDE/PROYECTO</t>
  </si>
  <si>
    <t>CARACTERÍSTICAS DE LA NBS</t>
  </si>
  <si>
    <t xml:space="preserve">SOSTENIBILIDAD DE LA NBS </t>
  </si>
  <si>
    <t>¿?</t>
  </si>
  <si>
    <t>Descripción</t>
  </si>
  <si>
    <t xml:space="preserve">Se puede desviar drenaje pluvial urbano a tanques de almacenamiento/sedimentación diseñados para almacenar el exceso de escorrentía en los sistemas de drenaje urbano durante los períodos húmedos, principalmente si la escorrentía excede en cierta medida la capacidad de descarga del sistema de drenaje urbano. El agua almacenada se puede utilizar en período seco del año. Compatible con otros usos y otras fuentes de aguas residuales con adición de sistemas de tratamientos del agua. </t>
  </si>
  <si>
    <t>El reciclaje de aguas grises (aguas residuales de duchas, lavabos, lavandería y posiblemente de la cocina), ya sean de sistemas de tratamiento de reutilización centralizados (sistemas de 'tercera tubería') o individuales, se puede reciclar de manera efectiva y eficiente para aplicaciones de reutilización no potable, tales como industriales, irrigación, descarga de inodoros y lavado de ropa en función de las tecnologías utilizadas en el proceso de tratamiento.</t>
  </si>
  <si>
    <t>Los sistemas descentralizados de aguas residuales (también conocidos como sistemas descentralizados de tratamiento de aguas residuales) transportan, tratan y eliminan o reutilizan aguas residuales de comunidades, edificios y viviendas pequeñas y de baja densidad en áreas remotas, propiedades públicas o privadas individuales. Los sistemas descentralizados de aguas residuales tratan, reutilizan o eliminan el efluente relativamente cerca de su fuente de generación. Tienen el propósito de proteger la salud pública y el medio ambiente natural reduciendo sustancialmente los riesgos para la salud y el medio ambiente.</t>
  </si>
  <si>
    <t xml:space="preserve">Durante eventos de excedencia, los embalses podrían proporciona un área de almacenamiento temporal para diferentes usos posteriores. El cambio de nivel que define el área podría usarse para proporcionar asientos o un escenario para espectáculos en períodos en lo que no contenga agua. Para utilizar el espacio de manera eficiente, el diseño debe tener como objetivo acomodar las necesidades sociales y funcionales de una comunidad junto con las necesidades hídricas. </t>
  </si>
  <si>
    <t xml:space="preserve">Es una técnica muy implementada, en la que el agua de lluvia captada es almacenada en tanques de almacenamiento/sedimentación diseñados para almacenar agua por varios meses. El agua almacenada se puede utilizar en período seco del año. Compatible con otros usos y otras fuentes de aguas residuales con adición de sistemas de tratamientos del agua. </t>
  </si>
  <si>
    <t xml:space="preserve">La creación de un desvío para un río o canal puede reducir los niveles de inundación en un lugar específico. Un bypass proporciona capacidad de descarga adicional para el río o canal. Se pueden tener beneficios adicionales en áreas re-naturalizadas, aumentando la biodiversidad y los ciclos ecosistémicos. Para realizar la canalización se debe tener en cuenta el caudal ecológico del río y cómo la gestión del río en la parte superior de la cuenca puede afectar la parte inferior de la cuenca. </t>
  </si>
  <si>
    <t xml:space="preserve">Este acuifero se relaciona con fallas de carácter regional y su recarga procede de la Sierra Transversal o del macizo de las Guilleries, con tiempos de tránsito superior a 50 años, por lo que es un acuífero con gran disponibilidad de agua. Según los pozos monitoreados, no presentan variaciones entra las épocas secas y húmedas. Es posible que en Girona el área del acuífero sea confinado y su recarga se encuentre en el sistema de fallas. Sin embargo, se deberá realizar un balance hidrogeológico y un plan de manejo integral que considere los posibles usos y usuarios. </t>
  </si>
  <si>
    <t xml:space="preserve">Es el principal acuífero del plan de Girona y lo constituyen las formaciones fluviales constituidas por un nivel superficial de unos 4-6 m de limos y arena fina, con pequeñas capas de grava, y un nivel basal claramente granular, alcanzando en conjunto profundidades máximas de 15-20 m. El Ter posee un comportamiento de río influyente en su mayoría, por lo que este acuífero es singularmente sensible con los cambios de caudal del río. Esto indica que una extracción continua y sin planificación previa de la gestión del acuífero, afectará directamente al caudal del río por lo que se deberá realizar un balance hidrogeológico y un plan de manejo integral que considere los posibles usos y usuarios. </t>
  </si>
  <si>
    <t>La precipitación también se puede retener en un estanque y aprovecharla desde allí. El inconveniente, sin embargo, es que la calidad del agua es menos fácil de controlar debido a factores como la caída de hojas, las plagas y las fluctuaciones de temperatura. El diseño del estanque debe permitir las fluctuaciones del nivel del agua. Es preferible que el estanque tenga una profundidad de 1 metro o más: la temperatura se mantendrá relativamente baja en verano, lo que disminuirá el riesgo de que aparezcan algas y otros problemas con la calidad del agua.</t>
  </si>
  <si>
    <t xml:space="preserve">El agua resultante de la depuración se ha convertido en un recurso de incalculable valor en nuestro país para su uso en producción agrícola, parques y jardines públicos y zonas de ocio. Normalmente cumple con la calidad marcada por la legislación, pero requiere un tratamiento adicional para ser empleada para riego. En mayo de 2020, el Parlamento Europeo aprobó nuevas disposiciones para la reutilización de las aguas residuales urbanas para hacer frente a la escasez de agua y al deterioro de su calidad. Para implementar esta estrategia es necesario contar con directrices municipales acompañado de concientización de la población. </t>
  </si>
  <si>
    <t xml:space="preserve">El aumento de las sequías y de la duración del período seco tienen un impacto en la vegetación. Las especies resistentes a la sequía ayudarán a que los parques sean más resilientes a los impactos de los períodos con escasez de agua. Es necesario acompañar el cambio de las especies con concientización de la población sobre los ciclos de floración naturales de las plantas mediterráneas. </t>
  </si>
  <si>
    <t xml:space="preserve">El cambio del sustrato de las áreas verdes a un sustrato con mayor infiltración superficial, pero que al aumentar la profundidad aumente el tiempo de retención ayudará a la vegetación a reducir los requerimientos hídricos posterior al término de la época lluviosa del año y/o disminuirá la cantidad de riego requerido. </t>
  </si>
  <si>
    <t xml:space="preserve">Al plantar vegetación debajo del árbol, la estructura del suelo mejorará y el árbol obtendrá más agua. Un atractivo macizo de flores realzará la calle. </t>
  </si>
  <si>
    <t>Los humedales se crean para amortiguar parte de la escorrentía de las precipitaciones y reducir la velocidad a la que se escurre. Se trata de un nuevo enfoque en comparación con los sistemas de drenaje rápido que utilizan zanjas y tuberías. Otro beneficio de los humedales es que los contaminantes biológicos son eliminados por la vida vegetal y se depositan en el sedimento, lo que mejora significativamente la calidad de la escorrentía. El efluente de los humedales es agua depurada muy adecuada para su uso en sistemas de aspersión</t>
  </si>
  <si>
    <t>Si el suelo está cubierto con mantillo, hojas o cobertura vegetal, la desecación del suelo es limitada. Esto no sólo reduce la evaporación, sino que al prevenir la desecación, la capacidad de absorción del suelo durante la lluvia después de un período seco no se reduce mucho. La desventaja de esta medida es que se pierde el efecto refrescante de la evaporación.</t>
  </si>
  <si>
    <t>Se pueden diseñar tejados planos para amortiguar cierto grado de precipitación situando el rebosadero a un nivel ligeramente más alto. Esto hay que tenerlo en cuenta en la construcción del tejado (mayor carga). El agua de lluvia se drena lentamente mediante desagües más estrechos y solo permanece brevemente en el tejado para tener suficiente capacidad de almacenamiento a tiempo para la siguiente lluvia.</t>
  </si>
  <si>
    <t>Aunque no siempre es así, esto se logra más comúnmente dirigiendo el agua de lluvia desde el techo de un edificio y recogiéndola en una cisterna debajo de la estructura. Luego, la escorrentía puede filtrarse y tratarse antes de reutilizarse en el sitio o descargarse al sistema de drenaje de la ciudad. Las cisternas debajo de los edificios no permiten la infiltración.</t>
  </si>
  <si>
    <t>son una tecnología que soporta el peso del pavimento para crear un espacio vacío debajo. La función principal de estos sistemas es proporcionar espacio debajo del pavimento para medios ligeramente compactados y de alta calidad para ayudar al crecimiento y la salud de los árboles urbanos. También ofrecen una serie de otros beneficios, como la detención de aguas pluviales en el sitio, una mejor calidad del agua y la infiltración de aguas subterráneas.</t>
  </si>
  <si>
    <t>El riego automático es un sistema para distribuir agua a las plantas de manera controlada, por medio de sistemas de aspersión o goteo. Este sistema permite distribuir el agua en la ubicación, cantidad, frecuencia y horario que se desee</t>
  </si>
  <si>
    <t xml:space="preserve">Los pozos de infiltración y las cajas de infiltración ofrecen una buena alternativa para las instalaciones de infiltración por debajo del suelo y se pueden adaptar para almacenar y reutilizar agua. Las cajas de infiltración y los pozos de infiltración vienen en todos los tamaños, desde viviendas individuales hasta instalaciones para distritos urbanos enteros. Las cajas se pueden utilizar debajo de carreteras, campos deportivos y aparcamientos, por ejemplo, permitiendo utilizar una única superficie de terreno para dos fines. Las cajas se envuelven con tela filtrante para evitar que se llenen de sedimentos. Los pozos suelen ser grandes tubos de hormigón o plástico colocados verticalmente a los que se conecta un sistema de almacenamiento. </t>
  </si>
  <si>
    <t>Los canales con almacenamiento sobre el suelo pueden ser profundos o poco profundos y, naturalmente, la profundidad y el área determinan la capacidad de amortiguación. Las raíces y la actividad animal en el suelo aseguran que se mantenga la permeabilidad del suelo. Estos sistemas deben diseñarse de tal manera que no sean utilizados demasiado por niños que juegan u otras actividades intensivas cuando están secos, lo que podría provocar que el suelo se compacte y disminuya la capacidad de infiltración.</t>
  </si>
  <si>
    <t>Las zonas menos utilizadas de los espacios verdes públicos se pueden transformar en coloridos prados de flores con diversas hierbas, pastos y flores que, al dejar de fertilizarlos y gestionarlos de forma extensiva, atraerían de nuevo a mariposas y pájaros. La gestión extensiva ahorra dinero y agua al tener menos mantenimiento requerido. Un campo de césped gestionado extensivamente se puede convertir nuevamente en un césped denso si se corta con más frecuencia si su función lo requiere, por ejemplo para un evento o para un estacionamiento temporal.</t>
  </si>
  <si>
    <t>En zonas altamente urbanizadas el agua de lluvia se transporta desde los edificios y las calles a través de canalones elevados hasta estas franjas de infiltración. Las franjas de infiltración amortiguan el agua de lluvia y la liberan lentamente al suelo. El agua es parcialmente filtrada por la grava y la vegetación antes de infiltrarse.</t>
  </si>
  <si>
    <t>Consiste en tener sistemas de alcantarillados separados para agua residuales domesticas/industriales y agua pluvial; en las ciudades que ya tienen los sistemas de alcantarillados unificados, el cambio deberá ser paulatino y planificado</t>
  </si>
  <si>
    <t>Fuente</t>
  </si>
  <si>
    <t>(a)</t>
  </si>
  <si>
    <r>
      <t>(a) Deltares (2022)</t>
    </r>
    <r>
      <rPr>
        <i/>
        <sz val="11"/>
        <color theme="1"/>
        <rFont val="Calibri"/>
        <family val="2"/>
        <scheme val="minor"/>
      </rPr>
      <t xml:space="preserve"> Climate Resilient City Tool Documentation</t>
    </r>
    <r>
      <rPr>
        <sz val="11"/>
        <color theme="1"/>
        <rFont val="Calibri"/>
        <family val="2"/>
        <scheme val="minor"/>
      </rPr>
      <t>. Obtenido de https://publicwiki.deltares.nl/display/AST/Tabellen+aanleg-+en+beheerkosten</t>
    </r>
  </si>
  <si>
    <t>(c) Gonzales-Viar et. al. (2015) Cost-Effectiveness Analysis of Sewer Mining versus Centralized Wastewater Treatment: Case Study of Arga River Basin (Spain). Obtenido de https://repositorio.unican.es/xmlui/bitstream/handle/10902/7967/2015_Gonz%E1lezViar%20UWJ.pdf?sequence=1</t>
  </si>
  <si>
    <r>
      <t xml:space="preserve">(f) Wells in Spain (2024) </t>
    </r>
    <r>
      <rPr>
        <i/>
        <sz val="11"/>
        <color theme="1"/>
        <rFont val="Calibri"/>
        <family val="2"/>
        <scheme val="minor"/>
      </rPr>
      <t>Perforación e instalación de bombas</t>
    </r>
    <r>
      <rPr>
        <sz val="11"/>
        <color theme="1"/>
        <rFont val="Calibri"/>
        <family val="2"/>
        <scheme val="minor"/>
      </rPr>
      <t>. Obtenido de https://www.wellsinspain.com/boreholes.html</t>
    </r>
  </si>
  <si>
    <r>
      <t xml:space="preserve">(d) Gaitán N. (2021). </t>
    </r>
    <r>
      <rPr>
        <i/>
        <sz val="11"/>
        <color theme="1"/>
        <rFont val="Calibri"/>
        <family val="2"/>
        <scheme val="minor"/>
      </rPr>
      <t>Propuesta de aprovechamiento de los recursos hídricos mediante captación de agua de lluvia para riego de un huerto urbano en el barrio sant narcís (Girona - España)</t>
    </r>
    <r>
      <rPr>
        <sz val="11"/>
        <color theme="1"/>
        <rFont val="Calibri"/>
        <family val="2"/>
        <scheme val="minor"/>
      </rPr>
      <t>. Universidad de Girona</t>
    </r>
  </si>
  <si>
    <t>(b)(*)</t>
  </si>
  <si>
    <t>(c) (**)</t>
  </si>
  <si>
    <t>(*) por gran variedad de sistemas de tratamiento se tomo un estandar de filtro de arena</t>
  </si>
  <si>
    <t>(***) costo en  €/m2/mes</t>
  </si>
  <si>
    <r>
      <t xml:space="preserve">(h) Deltares (2022) </t>
    </r>
    <r>
      <rPr>
        <i/>
        <sz val="11"/>
        <color theme="1"/>
        <rFont val="Calibri"/>
        <family val="2"/>
        <scheme val="minor"/>
      </rPr>
      <t>Climate Resilient City Tool</t>
    </r>
    <r>
      <rPr>
        <sz val="11"/>
        <color theme="1"/>
        <rFont val="Calibri"/>
        <family val="2"/>
        <scheme val="minor"/>
      </rPr>
      <t>. Obtenido de https://crctool.org/en/project/areas/</t>
    </r>
  </si>
  <si>
    <t>(h)</t>
  </si>
  <si>
    <r>
      <t xml:space="preserve">(g) Arroyo (2024) </t>
    </r>
    <r>
      <rPr>
        <i/>
        <sz val="11"/>
        <color theme="1"/>
        <rFont val="Calibri"/>
        <family val="2"/>
        <scheme val="minor"/>
      </rPr>
      <t>Precios de los sistemas de riego automático más populares</t>
    </r>
    <r>
      <rPr>
        <sz val="11"/>
        <color theme="1"/>
        <rFont val="Calibri"/>
        <family val="2"/>
        <scheme val="minor"/>
      </rPr>
      <t>. Obtenido de https://www.cronoshare.com/cuanto-cuesta/sistema-riego-automatico#</t>
    </r>
  </si>
  <si>
    <t>(d) (a)</t>
  </si>
  <si>
    <t>(f)</t>
  </si>
  <si>
    <t>FUENTES DE COSTOS:</t>
  </si>
  <si>
    <t>Bioswales</t>
  </si>
  <si>
    <t>Un bioswale es una área con vegetación y un fondo poroso. La capa superior consiste en tierra mejorada con plantas. Debajo de esa capa hay una capa de grava, escoria o bolitas de arcilla cocida empaquetadas en geotextil. Estos materiales tienen grandes espacios vacíos, lo que permite escurrir el agua de lluvia. La capa se empaqueta en geotextil para evitar que la capa se obstruya por lodos o raíces. Debajo de la segunda capa está situado un tubo de infiltración/tubo de desagüe.</t>
  </si>
  <si>
    <t>(**) Las imágenes pertenecen exclusivamente al Atelier GroenBlauw y los pictogramas para las medidas de adaptación pertenecen a Bosch Slabbers.</t>
  </si>
  <si>
    <t>Unidad</t>
  </si>
  <si>
    <t>Costo estimado</t>
  </si>
  <si>
    <t>Costo estimado mantenimiento</t>
  </si>
  <si>
    <t>Costo de mantenimiento estimado</t>
  </si>
  <si>
    <t>€/d</t>
  </si>
  <si>
    <t>(**) costo solamente incluye sistema de tratamiento convencional de SM de MBR</t>
  </si>
  <si>
    <t>€/m2/mes</t>
  </si>
  <si>
    <t>(g)</t>
  </si>
  <si>
    <t>(i)Calle, E., Martínez, D., Buttiglieri, G. et al. (2023) Optimal design of water reuse networks in cities through decision support tool development and testing. https://doi.org/10.1038/s41545-023-00222-4</t>
  </si>
  <si>
    <t>(i)</t>
  </si>
  <si>
    <t>€/m2</t>
  </si>
  <si>
    <t>€/m3</t>
  </si>
  <si>
    <t>€/m</t>
  </si>
  <si>
    <r>
      <t xml:space="preserve">(b) Wiltshire (2005) </t>
    </r>
    <r>
      <rPr>
        <i/>
        <sz val="11"/>
        <color theme="1"/>
        <rFont val="Calibri"/>
        <family val="2"/>
        <scheme val="minor"/>
      </rPr>
      <t>Greywater Reuse in Urban Areas p. 91</t>
    </r>
    <r>
      <rPr>
        <sz val="11"/>
        <color theme="1"/>
        <rFont val="Calibri"/>
        <family val="2"/>
        <scheme val="minor"/>
      </rPr>
      <t>. Obtenido de https://sear.unisq.edu.au/46/1/MarkWILTSHIRE-2004.pdf</t>
    </r>
  </si>
  <si>
    <t>Unidad de medida</t>
  </si>
  <si>
    <t>No</t>
  </si>
  <si>
    <t>Ubicación</t>
  </si>
  <si>
    <t>Césped</t>
  </si>
  <si>
    <t>Parterre</t>
  </si>
  <si>
    <t>área total</t>
  </si>
  <si>
    <t>Balsas/fuentes</t>
  </si>
  <si>
    <t xml:space="preserve">servicios </t>
  </si>
  <si>
    <t>pilotos GiroNat</t>
  </si>
  <si>
    <t>Representatividad para el sector</t>
  </si>
  <si>
    <t>sector</t>
  </si>
  <si>
    <t>Carrer</t>
  </si>
  <si>
    <t>área de césped</t>
  </si>
  <si>
    <t>especies identificada</t>
  </si>
  <si>
    <t>tipo de riego</t>
  </si>
  <si>
    <t>prioridad</t>
  </si>
  <si>
    <t>área de parterre</t>
  </si>
  <si>
    <t>especies identificadas</t>
  </si>
  <si>
    <t>Ambientales</t>
  </si>
  <si>
    <t>Recreativos</t>
  </si>
  <si>
    <t>turísticos</t>
  </si>
  <si>
    <t>paisaje urbano</t>
  </si>
  <si>
    <t>Suma</t>
  </si>
  <si>
    <t>PONDERACIÓN</t>
  </si>
  <si>
    <t>urbana-permanente</t>
  </si>
  <si>
    <t>Barri Vell</t>
  </si>
  <si>
    <t>Jardines de la muralla-jardins alemanys</t>
  </si>
  <si>
    <t>Carrer Muralla</t>
  </si>
  <si>
    <t>Cynodon dactylon</t>
  </si>
  <si>
    <t>Difusión</t>
  </si>
  <si>
    <t>Baja</t>
  </si>
  <si>
    <t xml:space="preserve">Arbustivas </t>
  </si>
  <si>
    <t>urbana- permanente</t>
  </si>
  <si>
    <t>Jardins Joan Fuster i Ortells</t>
  </si>
  <si>
    <t>Aspersión</t>
  </si>
  <si>
    <t>Moderada</t>
  </si>
  <si>
    <t>x</t>
  </si>
  <si>
    <t>Jardines de las Pedreras</t>
  </si>
  <si>
    <t>Pujada de les Pedreres</t>
  </si>
  <si>
    <t>Taraxacum officinale</t>
  </si>
  <si>
    <t>Alta</t>
  </si>
  <si>
    <t>sin información</t>
  </si>
  <si>
    <t>Eixample Nord</t>
  </si>
  <si>
    <t>Parque Central de Rafael Masó Valentí</t>
  </si>
  <si>
    <t>Jardines de la Francesa</t>
  </si>
  <si>
    <t>Lolium perenne</t>
  </si>
  <si>
    <t>Eixample Sud</t>
  </si>
  <si>
    <t>Parque Migdia</t>
  </si>
  <si>
    <t>Can Gilber Pla</t>
  </si>
  <si>
    <t>Jardins Jonh Lennon</t>
  </si>
  <si>
    <t xml:space="preserve">Carrer del castillo </t>
  </si>
  <si>
    <t>San Narcís</t>
  </si>
  <si>
    <t>Plaza Assumpció_Huertos</t>
  </si>
  <si>
    <t>Carme</t>
  </si>
  <si>
    <t>Homenaje a Carles Fages de Climent</t>
  </si>
  <si>
    <t>CARRER Jaume Pons Martc</t>
  </si>
  <si>
    <t>Trifolium repens</t>
  </si>
  <si>
    <t>gota a gota y Aspersión</t>
  </si>
  <si>
    <t>Zona Deportiva</t>
  </si>
  <si>
    <t>Domeny Nord</t>
  </si>
  <si>
    <t>Domeny Sud</t>
  </si>
  <si>
    <t>Parc de Pitus</t>
  </si>
  <si>
    <t>Festuca rubra</t>
  </si>
  <si>
    <t>gota a gota y Difusión</t>
  </si>
  <si>
    <t>Parc de Domey y Parc de Pitus</t>
  </si>
  <si>
    <t>Carrer Bisbe Sivilla</t>
  </si>
  <si>
    <t>Sin información</t>
  </si>
  <si>
    <t>Abelia (137.35 m2), Hemerocalli (89.31), Pistacia (88.50), Achillea (70.33), Callistemon (12.34), Kniphofia (17.22)</t>
  </si>
  <si>
    <t>goteo</t>
  </si>
  <si>
    <t xml:space="preserve">Jardins de la Devesa </t>
  </si>
  <si>
    <t>Passeig de la Devesa</t>
  </si>
  <si>
    <t>Fontajau</t>
  </si>
  <si>
    <t>La Copa</t>
  </si>
  <si>
    <t>Avinguda Fran</t>
  </si>
  <si>
    <t>Passeig de la Devesa, Rotonda de Pont de Pedret</t>
  </si>
  <si>
    <t>Pespalum notatum</t>
  </si>
  <si>
    <t>Mas Xirgu</t>
  </si>
  <si>
    <t>Montilivi</t>
  </si>
  <si>
    <t>PLAZA Ciutat de Figueres</t>
  </si>
  <si>
    <t>Mercadal</t>
  </si>
  <si>
    <t>Biblioteca Carles Rahola</t>
  </si>
  <si>
    <t>Plantago major</t>
  </si>
  <si>
    <t>Plaza Catalunya</t>
  </si>
  <si>
    <t>Parc Riera del Ter</t>
  </si>
  <si>
    <t>Jardines Ignasi Bosch i Reig</t>
  </si>
  <si>
    <t>Palau</t>
  </si>
  <si>
    <t>Pedret</t>
  </si>
  <si>
    <t>Carrer del río guell de la ronda Ferran Puig - Ronda rellotge</t>
  </si>
  <si>
    <t>La Familia /Parc de la riera del Ter</t>
  </si>
  <si>
    <t>Pont Major</t>
  </si>
  <si>
    <t>Plaza Ciutat de Figueres</t>
  </si>
  <si>
    <t>Plaza Assumpció y Huertos</t>
  </si>
  <si>
    <t>Camp del Bèlit</t>
  </si>
  <si>
    <t>Sant Ponc</t>
  </si>
  <si>
    <t>Parc La Devesa</t>
  </si>
  <si>
    <t>Campo de futbol</t>
  </si>
  <si>
    <t>Santa Eugenia</t>
  </si>
  <si>
    <t>CARRER de Mestre Francesc Civil</t>
  </si>
  <si>
    <t>PLAZA Josep Irla i Bosch</t>
  </si>
  <si>
    <t>Taialà</t>
  </si>
  <si>
    <t>Plaza de Miquel de Palol</t>
  </si>
  <si>
    <t>Plaza de Sant Ponc</t>
  </si>
  <si>
    <t>Plaza Prudenci Bertrana</t>
  </si>
  <si>
    <t>PLAZA Fra Ignasi Barnoya i Oms</t>
  </si>
  <si>
    <t>Plaza Assamblea de Catalunya</t>
  </si>
  <si>
    <t>Parc de Pepe Guerrero Romero</t>
  </si>
  <si>
    <t>Plaza Castell de Solterra</t>
  </si>
  <si>
    <t>Ronda Ferrar Puig</t>
  </si>
  <si>
    <t>Plaza Pasos Catalans</t>
  </si>
  <si>
    <t>AVINGUDA Josep Tarradellas</t>
  </si>
  <si>
    <t>Carrer Barcelona</t>
  </si>
  <si>
    <t>Carrer Oriol Martorell i Codina</t>
  </si>
  <si>
    <t>Eixamples sud</t>
  </si>
  <si>
    <t>CARRER Santiago Sobreques Dr.</t>
  </si>
  <si>
    <t>gota a gota</t>
  </si>
  <si>
    <t>Área infantil</t>
  </si>
  <si>
    <t>Parc de la riera del risser</t>
  </si>
  <si>
    <t>Rotonda G ell - Berenguer</t>
  </si>
  <si>
    <t>Plaça de Miquel Martí i Pol</t>
  </si>
  <si>
    <t>PASSEIG Ramon Berenguer II (Cap Estopes)</t>
  </si>
  <si>
    <t>Área verd al lado cementerio</t>
  </si>
  <si>
    <t>CARRER Marte Sureda Deulovol</t>
  </si>
  <si>
    <t>Parterre vegetal</t>
  </si>
  <si>
    <t>Placa de la Torre de Tailá</t>
  </si>
  <si>
    <t>AVINGUDA Sant Narcís</t>
  </si>
  <si>
    <t>Phleum pratense</t>
  </si>
  <si>
    <t>Parada Girocleta 5 - Pont del dimoni</t>
  </si>
  <si>
    <t>PLAZA Manuel Vozquez Montalbjn</t>
  </si>
  <si>
    <t>Carrer Saragossa</t>
  </si>
  <si>
    <t>Tanca vegetal</t>
  </si>
  <si>
    <t>Piscina municipal Santa Eugenia</t>
  </si>
  <si>
    <t>CARRER Ma. Josepa Arnall i Juan</t>
  </si>
  <si>
    <t>gota a gpta y difusión</t>
  </si>
  <si>
    <t>gota a gpta</t>
  </si>
  <si>
    <t>Placa tres Alzines</t>
  </si>
  <si>
    <t>ROTONDA Migdia</t>
  </si>
  <si>
    <t>RT. PASOS CATALANS</t>
  </si>
  <si>
    <t>Pl. de Lluts Companys</t>
  </si>
  <si>
    <t>. Del castell de Peralada</t>
  </si>
  <si>
    <t>CARRER Freser</t>
  </si>
  <si>
    <t>PLAZA Josep M. Puig i Salellas</t>
  </si>
  <si>
    <t>PLAZA Celestina Vigneaux i Cibils</t>
  </si>
  <si>
    <t>CARRETERA Santa Coloma</t>
  </si>
  <si>
    <t>Pl. Assumpció</t>
  </si>
  <si>
    <t>CARRER Gbell</t>
  </si>
  <si>
    <t>CARRER Escorial</t>
  </si>
  <si>
    <t>Carrer de l´esport</t>
  </si>
  <si>
    <t>C. Plaza de Sant Ponc</t>
  </si>
  <si>
    <t>Obelisco Pedret</t>
  </si>
  <si>
    <t>CARRER Palafrugell</t>
  </si>
  <si>
    <t>Monolito “ La Bonillo”</t>
  </si>
  <si>
    <t>Placa de la Font</t>
  </si>
  <si>
    <t>Placa vila de Perpinye</t>
  </si>
  <si>
    <t>Avinguda de Franca</t>
  </si>
  <si>
    <t>Parc carrer de Fontajau</t>
  </si>
  <si>
    <t>AVINGUDA de Josep Tarradellas i Joan</t>
  </si>
  <si>
    <t>ROTONDA Y AVINGUDA Josep Tarradelles</t>
  </si>
  <si>
    <t>CARRER Damia Estela Molinet</t>
  </si>
  <si>
    <t>Rotonda de Fontajau y avinguda Josep Tarradelles</t>
  </si>
  <si>
    <t>CARRER Fontajau</t>
  </si>
  <si>
    <t>ROTONDA Pont de la Barca</t>
  </si>
  <si>
    <t>RAMBLA Xavier Cugat</t>
  </si>
  <si>
    <t>Torren de Bullidors</t>
  </si>
  <si>
    <t>Plantago lanceolata</t>
  </si>
  <si>
    <t>Parc C. Joan Badia</t>
  </si>
  <si>
    <t>Carrer de Roberto Bolaño Ávalo</t>
  </si>
  <si>
    <t>Carrer de la Font de Teula</t>
  </si>
  <si>
    <t>Passeig de la Francina Boris i Codina</t>
  </si>
  <si>
    <t>Passeig de Feliu Matamala i Teixidor</t>
  </si>
  <si>
    <t>CARRETERA Antiga d'Amer</t>
  </si>
  <si>
    <t>CARRER Can Benet del Riu</t>
  </si>
  <si>
    <t>CARRER Sant Gregori</t>
  </si>
  <si>
    <t>Rotonda Can Benet del riu</t>
  </si>
  <si>
    <t>ROTONDA Domeny</t>
  </si>
  <si>
    <t>carrer d´Adri</t>
  </si>
  <si>
    <t>CARRER Joan Badia Casalas</t>
  </si>
  <si>
    <t xml:space="preserve">Carrer Joan Miró i Farrà </t>
  </si>
  <si>
    <t>RAMBLA Tete Montoliu i Massana</t>
  </si>
  <si>
    <t>CARRER Castell de Montgr</t>
  </si>
  <si>
    <t>Rotonda CARRER Canet d'Adri</t>
  </si>
  <si>
    <t>CARRER Canet d'Adri</t>
  </si>
  <si>
    <t>CARRER Torre de Taiala</t>
  </si>
  <si>
    <t>Carrer Puig d´Adri</t>
  </si>
  <si>
    <t>Carrer de l´Illia Tenerife</t>
  </si>
  <si>
    <t>Passeig Sant Joan Bosco</t>
  </si>
  <si>
    <t>C. del rio Guell</t>
  </si>
  <si>
    <t>CARRER del Montnegre</t>
  </si>
  <si>
    <t>CARRER E. Marques Ribalta</t>
  </si>
  <si>
    <t>Carrer Guell-Carrer Santa Eugenia</t>
  </si>
  <si>
    <t>Poa pratense</t>
  </si>
  <si>
    <t>Carrer Guell-Passeig d´Olot</t>
  </si>
  <si>
    <t>Carrer del rio Guell- Carrer Can Pau Birol</t>
  </si>
  <si>
    <t>Carrer del Camí Vell de Fornells</t>
  </si>
  <si>
    <t>CARRER Camí Vell de Fornells- C. de l´iglesia Sant Miquel</t>
  </si>
  <si>
    <t>CARRER Sarriera (dels)</t>
  </si>
  <si>
    <t>CARRER JJ.OO. de Barcelona</t>
  </si>
  <si>
    <t>Rotonda Mas Gri</t>
  </si>
  <si>
    <t>AVINGUDA Montilivi-CARRER M.Aurelia Capmany</t>
  </si>
  <si>
    <t>CARRER Puigsacalm-Carrer de Maria Aurèlia Capmany i Farnés</t>
  </si>
  <si>
    <t>CARRER Puigsacalm</t>
  </si>
  <si>
    <t>CARRER Can Llobet</t>
  </si>
  <si>
    <t>CARRER Castell de Solterra</t>
  </si>
  <si>
    <t>CARRER Joaquim Ruyra i Oms</t>
  </si>
  <si>
    <t>CARRER Creu</t>
  </si>
  <si>
    <t>Carrer Carme</t>
  </si>
  <si>
    <t>GITHUB</t>
  </si>
  <si>
    <t>agua potable estimada destinada al riego (m3)</t>
  </si>
  <si>
    <t>área de riego (m2)</t>
  </si>
  <si>
    <t>tamaño del área verde (ha)</t>
  </si>
  <si>
    <t>&gt; 6 km</t>
  </si>
  <si>
    <t>&lt; 6 km</t>
  </si>
  <si>
    <t>Presupuesto estimado construcción (€)</t>
  </si>
  <si>
    <r>
      <t xml:space="preserve">(*) no rellenar si la anterior es </t>
    </r>
    <r>
      <rPr>
        <b/>
        <sz val="18"/>
        <color theme="1"/>
        <rFont val="Times New Roman"/>
        <family val="1"/>
      </rPr>
      <t>no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</si>
</sst>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sz val="11"/>
      <name val="Calibri"/>
      <family val="2"/>
    </font>
    <font>
      <u/>
      <sz val="11"/>
      <color theme="10"/>
      <name val="Calibri"/>
      <family val="2"/>
    </font>
    <font>
      <u/>
      <sz val="11"/>
      <color theme="10"/>
      <name val="Calibri"/>
      <family val="2"/>
    </font>
    <font>
      <u/>
      <sz val="11"/>
      <color theme="10"/>
      <name val="Calibri"/>
      <family val="2"/>
    </font>
    <font>
      <u/>
      <sz val="11"/>
      <color theme="10"/>
      <name val="Calibri"/>
      <family val="2"/>
    </font>
    <font>
      <sz val="11"/>
      <color theme="1"/>
      <name val="Calibri"/>
      <family val="2"/>
      <scheme val="minor"/>
    </font>
    <font>
      <sz val="11"/>
      <color theme="1"/>
      <name val="Calibri"/>
      <family val="2"/>
    </font>
    <font>
      <sz val="11"/>
      <name val="Calibri"/>
      <family val="2"/>
    </font>
    <font>
      <sz val="11"/>
      <color rgb="FFFF0000"/>
      <name val="Calibri"/>
      <family val="2"/>
    </font>
    <font>
      <sz val="9"/>
      <color indexed="81"/>
      <name val="Tahoma"/>
      <family val="2"/>
    </font>
    <font>
      <b/>
      <sz val="9"/>
      <color indexed="81"/>
      <name val="Tahoma"/>
      <family val="2"/>
    </font>
    <font>
      <b/>
      <sz val="14"/>
      <color theme="1"/>
      <name val="Calibri"/>
      <family val="2"/>
    </font>
    <font>
      <u/>
      <sz val="11"/>
      <color theme="10"/>
      <name val="Calibri"/>
      <family val="2"/>
      <scheme val="minor"/>
    </font>
    <font>
      <i/>
      <sz val="11"/>
      <color theme="1"/>
      <name val="Calibri"/>
      <family val="2"/>
      <scheme val="minor"/>
    </font>
    <font>
      <sz val="8"/>
      <name val="Calibri"/>
      <family val="2"/>
      <scheme val="minor"/>
    </font>
    <font>
      <sz val="16"/>
      <color theme="1"/>
      <name val="Calibri"/>
      <family val="2"/>
    </font>
    <font>
      <sz val="16"/>
      <name val="Calibri"/>
      <family val="2"/>
    </font>
    <font>
      <sz val="16"/>
      <color theme="1"/>
      <name val="Calibri"/>
      <family val="2"/>
      <scheme val="minor"/>
    </font>
    <font>
      <b/>
      <sz val="16"/>
      <color theme="1"/>
      <name val="Calibri"/>
      <family val="2"/>
    </font>
    <font>
      <sz val="11"/>
      <color theme="1"/>
      <name val="Times New Roman"/>
      <family val="1"/>
    </font>
    <font>
      <b/>
      <sz val="11"/>
      <color theme="0"/>
      <name val="Times New Roman"/>
      <family val="1"/>
    </font>
    <font>
      <b/>
      <sz val="11"/>
      <name val="Times New Roman"/>
      <family val="1"/>
    </font>
    <font>
      <b/>
      <sz val="11"/>
      <color theme="1"/>
      <name val="Times New Roman"/>
      <family val="1"/>
    </font>
    <font>
      <sz val="11"/>
      <name val="Calibri"/>
      <family val="2"/>
      <scheme val="minor"/>
    </font>
    <font>
      <sz val="11"/>
      <name val="Times New Roman"/>
      <family val="1"/>
    </font>
    <font>
      <b/>
      <sz val="11"/>
      <color theme="0"/>
      <name val="Calibri"/>
      <family val="2"/>
    </font>
    <font>
      <b/>
      <sz val="12"/>
      <name val="Calibri"/>
      <family val="2"/>
      <scheme val="minor"/>
    </font>
    <font>
      <b/>
      <sz val="16"/>
      <color theme="0"/>
      <name val="Times New Roman"/>
      <family val="1"/>
    </font>
    <font>
      <sz val="16"/>
      <name val="Times New Roman"/>
      <family val="1"/>
    </font>
    <font>
      <u/>
      <sz val="11"/>
      <color theme="10"/>
      <name val="Times New Roman"/>
      <family val="1"/>
    </font>
    <font>
      <sz val="16"/>
      <color theme="1"/>
      <name val="Times New Roman"/>
      <family val="1"/>
    </font>
    <font>
      <u/>
      <sz val="16"/>
      <color theme="10"/>
      <name val="Times New Roman"/>
      <family val="1"/>
    </font>
    <font>
      <sz val="20"/>
      <color theme="1"/>
      <name val="Times New Roman"/>
      <family val="1"/>
    </font>
    <font>
      <sz val="20"/>
      <color theme="1"/>
      <name val="Calibri"/>
      <family val="2"/>
    </font>
    <font>
      <b/>
      <sz val="20"/>
      <color theme="1"/>
      <name val="Calibri"/>
      <family val="2"/>
    </font>
    <font>
      <sz val="20"/>
      <color theme="0"/>
      <name val="Calibri"/>
      <family val="2"/>
    </font>
    <font>
      <sz val="20"/>
      <color theme="1"/>
      <name val="Calibri"/>
      <family val="2"/>
      <scheme val="minor"/>
    </font>
    <font>
      <sz val="9"/>
      <color indexed="81"/>
      <name val="Tahoma"/>
      <charset val="1"/>
    </font>
    <font>
      <b/>
      <sz val="9"/>
      <color indexed="81"/>
      <name val="Tahoma"/>
      <charset val="1"/>
    </font>
    <font>
      <sz val="18"/>
      <color theme="1"/>
      <name val="Times New Roman"/>
      <family val="1"/>
    </font>
    <font>
      <b/>
      <sz val="18"/>
      <color theme="0"/>
      <name val="Times New Roman"/>
      <family val="1"/>
    </font>
    <font>
      <b/>
      <sz val="18"/>
      <color theme="1"/>
      <name val="Times New Roman"/>
      <family val="1"/>
    </font>
    <font>
      <b/>
      <sz val="12"/>
      <color rgb="FF000000"/>
      <name val="Times New Roman"/>
      <family val="1"/>
    </font>
    <font>
      <sz val="11"/>
      <color theme="4"/>
      <name val="Times New Roman"/>
      <family val="1"/>
    </font>
    <font>
      <sz val="11"/>
      <color rgb="FF000000"/>
      <name val="Times New Roman"/>
      <family val="1"/>
    </font>
  </fonts>
  <fills count="19">
    <fill>
      <patternFill patternType="none"/>
    </fill>
    <fill>
      <patternFill patternType="gray125"/>
    </fill>
    <fill>
      <patternFill patternType="solid">
        <fgColor theme="0"/>
        <bgColor theme="0"/>
      </patternFill>
    </fill>
    <fill>
      <patternFill patternType="solid">
        <fgColor theme="0"/>
        <bgColor indexed="64"/>
      </patternFill>
    </fill>
    <fill>
      <patternFill patternType="solid">
        <fgColor rgb="FFF8F8F8"/>
        <bgColor indexed="64"/>
      </patternFill>
    </fill>
    <fill>
      <patternFill patternType="solid">
        <fgColor rgb="FFF8F8F8"/>
        <bgColor theme="0"/>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002060"/>
        <bgColor indexed="64"/>
      </patternFill>
    </fill>
    <fill>
      <patternFill patternType="solid">
        <fgColor theme="2" tint="-4.9989318521683403E-2"/>
        <bgColor indexed="64"/>
      </patternFill>
    </fill>
    <fill>
      <patternFill patternType="solid">
        <fgColor rgb="FF002060"/>
        <bgColor rgb="FFDEEAF6"/>
      </patternFill>
    </fill>
    <fill>
      <patternFill patternType="solid">
        <fgColor rgb="FFFFFF00"/>
        <bgColor theme="0"/>
      </patternFill>
    </fill>
  </fills>
  <borders count="60">
    <border>
      <left/>
      <right/>
      <top/>
      <bottom/>
      <diagonal/>
    </border>
    <border>
      <left/>
      <right/>
      <top/>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style="thin">
        <color rgb="FF000000"/>
      </bottom>
      <diagonal/>
    </border>
    <border>
      <left/>
      <right style="medium">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right/>
      <top/>
      <bottom/>
      <diagonal/>
    </border>
    <border>
      <left style="thin">
        <color rgb="FF000000"/>
      </left>
      <right style="thin">
        <color rgb="FF000000"/>
      </right>
      <top style="thin">
        <color rgb="FF000000"/>
      </top>
      <bottom style="medium">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thin">
        <color rgb="FF000000"/>
      </top>
      <bottom/>
      <diagonal/>
    </border>
    <border>
      <left/>
      <right/>
      <top/>
      <bottom style="thin">
        <color rgb="FF000000"/>
      </bottom>
      <diagonal/>
    </border>
    <border>
      <left style="thin">
        <color rgb="FF000000"/>
      </left>
      <right/>
      <top/>
      <bottom style="thin">
        <color rgb="FF000000"/>
      </bottom>
      <diagonal/>
    </border>
    <border>
      <left style="thin">
        <color indexed="64"/>
      </left>
      <right style="thin">
        <color indexed="64"/>
      </right>
      <top/>
      <bottom style="thin">
        <color indexed="64"/>
      </bottom>
      <diagonal/>
    </border>
    <border>
      <left/>
      <right style="thin">
        <color rgb="FF000000"/>
      </right>
      <top/>
      <bottom style="thin">
        <color rgb="FF000000"/>
      </bottom>
      <diagonal/>
    </border>
    <border>
      <left/>
      <right/>
      <top style="medium">
        <color rgb="FF000000"/>
      </top>
      <bottom style="thin">
        <color rgb="FF000000"/>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4">
    <xf numFmtId="0" fontId="0" fillId="0" borderId="0"/>
    <xf numFmtId="0" fontId="20" fillId="0" borderId="0" applyNumberFormat="0" applyFill="0" applyBorder="0" applyAlignment="0" applyProtection="0"/>
    <xf numFmtId="0" fontId="2" fillId="0" borderId="14"/>
    <xf numFmtId="9" fontId="2" fillId="0" borderId="14" applyFont="0" applyFill="0" applyBorder="0" applyAlignment="0" applyProtection="0"/>
  </cellStyleXfs>
  <cellXfs count="313">
    <xf numFmtId="0" fontId="0" fillId="0" borderId="0" xfId="0"/>
    <xf numFmtId="0" fontId="7" fillId="2" borderId="1" xfId="0" applyFont="1" applyFill="1" applyBorder="1"/>
    <xf numFmtId="0" fontId="7" fillId="2" borderId="14" xfId="0" applyFont="1" applyFill="1" applyBorder="1"/>
    <xf numFmtId="0" fontId="7" fillId="2" borderId="10" xfId="0" applyFont="1" applyFill="1" applyBorder="1" applyAlignment="1">
      <alignment horizontal="center" vertical="center" wrapText="1"/>
    </xf>
    <xf numFmtId="0" fontId="7" fillId="2" borderId="10" xfId="0" applyFont="1" applyFill="1" applyBorder="1" applyAlignment="1">
      <alignment horizontal="center" vertical="center"/>
    </xf>
    <xf numFmtId="0" fontId="7" fillId="0" borderId="0" xfId="0" applyFont="1" applyAlignment="1">
      <alignment wrapText="1"/>
    </xf>
    <xf numFmtId="0" fontId="7" fillId="0" borderId="10" xfId="0" applyFont="1" applyBorder="1" applyAlignment="1">
      <alignment wrapText="1"/>
    </xf>
    <xf numFmtId="0" fontId="13" fillId="0" borderId="0" xfId="0" applyFont="1"/>
    <xf numFmtId="0" fontId="7" fillId="0" borderId="10" xfId="0" applyFont="1" applyBorder="1"/>
    <xf numFmtId="1" fontId="7" fillId="0" borderId="10" xfId="0" applyNumberFormat="1" applyFont="1" applyBorder="1"/>
    <xf numFmtId="9" fontId="7" fillId="0" borderId="10" xfId="0" applyNumberFormat="1" applyFont="1" applyBorder="1"/>
    <xf numFmtId="1" fontId="7" fillId="0" borderId="10" xfId="0" applyNumberFormat="1" applyFont="1" applyBorder="1" applyAlignment="1">
      <alignment wrapText="1"/>
    </xf>
    <xf numFmtId="0" fontId="7" fillId="2" borderId="15"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19" xfId="0" applyFont="1" applyFill="1" applyBorder="1" applyAlignment="1">
      <alignment horizontal="center" vertical="center"/>
    </xf>
    <xf numFmtId="0" fontId="9" fillId="2" borderId="16" xfId="0" applyFont="1" applyFill="1" applyBorder="1" applyAlignment="1">
      <alignment horizontal="center" vertical="center"/>
    </xf>
    <xf numFmtId="0" fontId="10" fillId="2" borderId="16" xfId="0" applyFont="1" applyFill="1" applyBorder="1" applyAlignment="1">
      <alignment horizontal="center" vertical="center"/>
    </xf>
    <xf numFmtId="0" fontId="7" fillId="2" borderId="16" xfId="0" applyFont="1" applyFill="1" applyBorder="1" applyAlignment="1">
      <alignment horizontal="center" vertical="center"/>
    </xf>
    <xf numFmtId="0" fontId="11" fillId="0" borderId="14" xfId="0" applyFont="1" applyBorder="1" applyAlignment="1">
      <alignment horizontal="center" vertical="center"/>
    </xf>
    <xf numFmtId="0" fontId="12" fillId="2" borderId="20" xfId="0" applyFont="1" applyFill="1" applyBorder="1" applyAlignment="1">
      <alignment horizontal="center" vertical="center"/>
    </xf>
    <xf numFmtId="0" fontId="14" fillId="2" borderId="1" xfId="0" applyFont="1" applyFill="1" applyBorder="1"/>
    <xf numFmtId="2" fontId="7" fillId="2" borderId="18" xfId="0" applyNumberFormat="1" applyFont="1" applyFill="1" applyBorder="1" applyAlignment="1">
      <alignment horizontal="center" vertical="center"/>
    </xf>
    <xf numFmtId="2" fontId="0" fillId="0" borderId="0" xfId="0" applyNumberFormat="1"/>
    <xf numFmtId="0" fontId="0" fillId="3" borderId="0" xfId="0" applyFill="1"/>
    <xf numFmtId="0" fontId="6" fillId="0" borderId="0" xfId="0" applyFont="1"/>
    <xf numFmtId="0" fontId="15" fillId="2" borderId="1" xfId="0" applyFont="1" applyFill="1" applyBorder="1"/>
    <xf numFmtId="0" fontId="15" fillId="4" borderId="10" xfId="0" applyFont="1" applyFill="1" applyBorder="1"/>
    <xf numFmtId="2" fontId="8" fillId="2" borderId="18" xfId="0" applyNumberFormat="1" applyFont="1" applyFill="1" applyBorder="1" applyAlignment="1">
      <alignment horizontal="center" vertical="center"/>
    </xf>
    <xf numFmtId="0" fontId="8" fillId="2" borderId="1" xfId="0" applyFont="1" applyFill="1" applyBorder="1"/>
    <xf numFmtId="2" fontId="0" fillId="0" borderId="18" xfId="0" applyNumberFormat="1" applyBorder="1" applyAlignment="1">
      <alignment horizontal="center" vertical="center"/>
    </xf>
    <xf numFmtId="0" fontId="20" fillId="2" borderId="16" xfId="1" applyFill="1" applyBorder="1" applyAlignment="1">
      <alignment horizontal="center" vertical="center"/>
    </xf>
    <xf numFmtId="0" fontId="5" fillId="0" borderId="0" xfId="0" applyFont="1"/>
    <xf numFmtId="0" fontId="8" fillId="4" borderId="10" xfId="0" applyFont="1" applyFill="1" applyBorder="1"/>
    <xf numFmtId="0" fontId="8" fillId="4" borderId="10" xfId="0" applyFont="1" applyFill="1" applyBorder="1" applyAlignment="1">
      <alignment wrapText="1"/>
    </xf>
    <xf numFmtId="2" fontId="7" fillId="2" borderId="31" xfId="0" applyNumberFormat="1" applyFont="1" applyFill="1" applyBorder="1" applyAlignment="1">
      <alignment horizontal="center" vertical="center"/>
    </xf>
    <xf numFmtId="2" fontId="0" fillId="0" borderId="31" xfId="0" applyNumberFormat="1" applyBorder="1" applyAlignment="1">
      <alignment horizontal="center" vertical="center"/>
    </xf>
    <xf numFmtId="2" fontId="8" fillId="2" borderId="31" xfId="0" applyNumberFormat="1" applyFont="1" applyFill="1" applyBorder="1" applyAlignment="1">
      <alignment horizontal="center" vertical="center"/>
    </xf>
    <xf numFmtId="0" fontId="4" fillId="0" borderId="0" xfId="0" applyFont="1"/>
    <xf numFmtId="9" fontId="7" fillId="2" borderId="14" xfId="0" applyNumberFormat="1" applyFont="1" applyFill="1" applyBorder="1" applyAlignment="1">
      <alignment horizontal="center" vertical="center"/>
    </xf>
    <xf numFmtId="9" fontId="7" fillId="2" borderId="14" xfId="0" applyNumberFormat="1" applyFont="1" applyFill="1" applyBorder="1"/>
    <xf numFmtId="0" fontId="7" fillId="2" borderId="14" xfId="0" applyFont="1" applyFill="1" applyBorder="1" applyAlignment="1">
      <alignment horizontal="center" vertical="center"/>
    </xf>
    <xf numFmtId="0" fontId="4" fillId="3" borderId="14" xfId="0" applyFont="1" applyFill="1" applyBorder="1"/>
    <xf numFmtId="0" fontId="4" fillId="3" borderId="0" xfId="0" applyFont="1" applyFill="1"/>
    <xf numFmtId="9" fontId="4" fillId="0" borderId="14" xfId="0" applyNumberFormat="1" applyFont="1" applyBorder="1"/>
    <xf numFmtId="2" fontId="7" fillId="0" borderId="31" xfId="0" applyNumberFormat="1" applyFont="1" applyBorder="1" applyAlignment="1">
      <alignment horizontal="center" vertical="center"/>
    </xf>
    <xf numFmtId="0" fontId="5" fillId="6" borderId="0" xfId="0" applyFont="1" applyFill="1"/>
    <xf numFmtId="0" fontId="3" fillId="0" borderId="0" xfId="0" applyFont="1"/>
    <xf numFmtId="0" fontId="3" fillId="6" borderId="0" xfId="0" applyFont="1" applyFill="1"/>
    <xf numFmtId="0" fontId="23" fillId="2" borderId="14" xfId="0" applyFont="1" applyFill="1" applyBorder="1"/>
    <xf numFmtId="0" fontId="23" fillId="2" borderId="1" xfId="0" applyFont="1" applyFill="1" applyBorder="1"/>
    <xf numFmtId="0" fontId="25" fillId="0" borderId="0" xfId="0" applyFont="1"/>
    <xf numFmtId="0" fontId="24" fillId="2" borderId="1" xfId="0" applyFont="1" applyFill="1" applyBorder="1"/>
    <xf numFmtId="0" fontId="26" fillId="2" borderId="1" xfId="0" applyFont="1" applyFill="1" applyBorder="1"/>
    <xf numFmtId="0" fontId="27" fillId="0" borderId="18" xfId="2" applyFont="1" applyBorder="1" applyAlignment="1">
      <alignment horizontal="center" vertical="center"/>
    </xf>
    <xf numFmtId="0" fontId="27" fillId="0" borderId="18" xfId="2" applyFont="1" applyBorder="1" applyAlignment="1">
      <alignment horizontal="center" vertical="center" wrapText="1"/>
    </xf>
    <xf numFmtId="4" fontId="29" fillId="0" borderId="18" xfId="2" applyNumberFormat="1" applyFont="1" applyBorder="1" applyAlignment="1">
      <alignment horizontal="center" vertical="center"/>
    </xf>
    <xf numFmtId="0" fontId="32" fillId="0" borderId="18" xfId="2" applyFont="1" applyBorder="1" applyAlignment="1">
      <alignment horizontal="center" vertical="center"/>
    </xf>
    <xf numFmtId="0" fontId="29" fillId="0" borderId="18" xfId="2" applyFont="1" applyBorder="1" applyAlignment="1">
      <alignment horizontal="center" vertical="center" wrapText="1"/>
    </xf>
    <xf numFmtId="0" fontId="32" fillId="0" borderId="18" xfId="2" applyFont="1" applyBorder="1" applyAlignment="1">
      <alignment horizontal="center" vertical="center" wrapText="1"/>
    </xf>
    <xf numFmtId="0" fontId="29" fillId="0" borderId="18" xfId="2" applyFont="1" applyBorder="1" applyAlignment="1">
      <alignment horizontal="center" vertical="center"/>
    </xf>
    <xf numFmtId="0" fontId="30" fillId="0" borderId="18" xfId="2" applyFont="1" applyBorder="1" applyAlignment="1">
      <alignment horizontal="center" vertical="center"/>
    </xf>
    <xf numFmtId="0" fontId="30" fillId="0" borderId="18" xfId="2" applyFont="1" applyBorder="1" applyAlignment="1">
      <alignment horizontal="center" vertical="center" wrapText="1"/>
    </xf>
    <xf numFmtId="0" fontId="33" fillId="15" borderId="26" xfId="0" applyFont="1" applyFill="1" applyBorder="1" applyAlignment="1">
      <alignment horizontal="center" vertical="center"/>
    </xf>
    <xf numFmtId="0" fontId="33" fillId="15" borderId="17" xfId="0" applyFont="1" applyFill="1" applyBorder="1" applyAlignment="1">
      <alignment horizontal="center" vertical="center"/>
    </xf>
    <xf numFmtId="0" fontId="33" fillId="15" borderId="27" xfId="0" applyFont="1" applyFill="1" applyBorder="1" applyAlignment="1">
      <alignment horizontal="center" vertical="center"/>
    </xf>
    <xf numFmtId="0" fontId="33" fillId="15" borderId="28" xfId="0" applyFont="1" applyFill="1" applyBorder="1" applyAlignment="1">
      <alignment horizontal="center" vertical="center"/>
    </xf>
    <xf numFmtId="0" fontId="33" fillId="15" borderId="18" xfId="0" applyFont="1" applyFill="1" applyBorder="1" applyAlignment="1">
      <alignment horizontal="center" vertical="center"/>
    </xf>
    <xf numFmtId="0" fontId="33" fillId="15" borderId="18" xfId="0" applyFont="1" applyFill="1" applyBorder="1" applyAlignment="1">
      <alignment horizontal="center" vertical="center" wrapText="1"/>
    </xf>
    <xf numFmtId="0" fontId="33" fillId="15" borderId="29" xfId="0" applyFont="1" applyFill="1" applyBorder="1" applyAlignment="1">
      <alignment horizontal="center" vertical="center"/>
    </xf>
    <xf numFmtId="0" fontId="33" fillId="15" borderId="17" xfId="0" applyFont="1" applyFill="1" applyBorder="1" applyAlignment="1">
      <alignment horizontal="center" vertical="center" wrapText="1"/>
    </xf>
    <xf numFmtId="0" fontId="33" fillId="15" borderId="17" xfId="0" applyFont="1" applyFill="1" applyBorder="1" applyAlignment="1">
      <alignment wrapText="1"/>
    </xf>
    <xf numFmtId="0" fontId="8" fillId="16" borderId="14" xfId="0" applyFont="1" applyFill="1" applyBorder="1" applyAlignment="1">
      <alignment horizontal="center" vertical="center"/>
    </xf>
    <xf numFmtId="0" fontId="33" fillId="15" borderId="17" xfId="0" applyFont="1" applyFill="1" applyBorder="1" applyAlignment="1">
      <alignment vertical="center" wrapText="1"/>
    </xf>
    <xf numFmtId="0" fontId="35" fillId="17" borderId="4" xfId="0" applyFont="1" applyFill="1" applyBorder="1" applyAlignment="1">
      <alignment horizontal="center" vertical="center"/>
    </xf>
    <xf numFmtId="0" fontId="35" fillId="17" borderId="25" xfId="0" applyFont="1" applyFill="1" applyBorder="1" applyAlignment="1">
      <alignment horizontal="center" vertical="center"/>
    </xf>
    <xf numFmtId="0" fontId="35" fillId="17" borderId="16" xfId="0" applyFont="1" applyFill="1" applyBorder="1" applyAlignment="1">
      <alignment horizontal="center" vertical="center"/>
    </xf>
    <xf numFmtId="0" fontId="35" fillId="17" borderId="10" xfId="0" applyFont="1" applyFill="1" applyBorder="1" applyAlignment="1">
      <alignment horizontal="center" vertical="center"/>
    </xf>
    <xf numFmtId="0" fontId="35" fillId="17" borderId="25" xfId="0" applyFont="1" applyFill="1" applyBorder="1" applyAlignment="1">
      <alignment horizontal="center" vertical="center" wrapText="1"/>
    </xf>
    <xf numFmtId="0" fontId="36" fillId="2" borderId="1" xfId="0" applyFont="1" applyFill="1" applyBorder="1"/>
    <xf numFmtId="0" fontId="27" fillId="2" borderId="10" xfId="0" applyFont="1" applyFill="1" applyBorder="1" applyAlignment="1">
      <alignment horizontal="center" vertical="center" wrapText="1"/>
    </xf>
    <xf numFmtId="0" fontId="37" fillId="2" borderId="11" xfId="0" applyFont="1" applyFill="1" applyBorder="1" applyAlignment="1">
      <alignment horizontal="center" vertical="center" wrapText="1"/>
    </xf>
    <xf numFmtId="0" fontId="27" fillId="2" borderId="10" xfId="0" applyFont="1" applyFill="1" applyBorder="1" applyAlignment="1">
      <alignment horizontal="center" vertical="center"/>
    </xf>
    <xf numFmtId="0" fontId="37" fillId="2" borderId="11" xfId="0" applyFont="1" applyFill="1" applyBorder="1" applyAlignment="1">
      <alignment horizontal="center" vertical="center"/>
    </xf>
    <xf numFmtId="0" fontId="27" fillId="2" borderId="11" xfId="0" applyFont="1" applyFill="1" applyBorder="1" applyAlignment="1">
      <alignment horizontal="center" vertical="center" wrapText="1"/>
    </xf>
    <xf numFmtId="0" fontId="38" fillId="2" borderId="10" xfId="0" applyFont="1" applyFill="1" applyBorder="1" applyAlignment="1">
      <alignment horizontal="center" vertical="center"/>
    </xf>
    <xf numFmtId="0" fontId="39" fillId="2" borderId="11" xfId="0" applyFont="1" applyFill="1" applyBorder="1" applyAlignment="1">
      <alignment horizontal="center" vertical="center"/>
    </xf>
    <xf numFmtId="0" fontId="37" fillId="0" borderId="14" xfId="0" applyFont="1" applyBorder="1" applyAlignment="1">
      <alignment horizontal="center" vertical="center" wrapText="1"/>
    </xf>
    <xf numFmtId="0" fontId="27" fillId="2" borderId="15" xfId="0" applyFont="1" applyFill="1" applyBorder="1" applyAlignment="1">
      <alignment horizontal="center" vertical="center" wrapText="1"/>
    </xf>
    <xf numFmtId="0" fontId="37" fillId="2" borderId="19" xfId="0" applyFont="1" applyFill="1" applyBorder="1" applyAlignment="1">
      <alignment horizontal="center" vertical="center" wrapText="1"/>
    </xf>
    <xf numFmtId="0" fontId="31" fillId="0" borderId="0" xfId="0" applyFont="1"/>
    <xf numFmtId="2" fontId="40" fillId="2" borderId="16" xfId="0" applyNumberFormat="1" applyFont="1" applyFill="1" applyBorder="1" applyAlignment="1">
      <alignment horizontal="center" vertical="center"/>
    </xf>
    <xf numFmtId="0" fontId="38" fillId="2" borderId="14" xfId="0" applyFont="1" applyFill="1" applyBorder="1"/>
    <xf numFmtId="0" fontId="38" fillId="2" borderId="1" xfId="0" applyFont="1" applyFill="1" applyBorder="1"/>
    <xf numFmtId="0" fontId="38" fillId="0" borderId="0" xfId="0" applyFont="1"/>
    <xf numFmtId="0" fontId="38" fillId="2" borderId="23" xfId="0" applyFont="1" applyFill="1" applyBorder="1" applyAlignment="1">
      <alignment horizontal="left" vertical="center"/>
    </xf>
    <xf numFmtId="0" fontId="38" fillId="18" borderId="23" xfId="0" applyFont="1" applyFill="1" applyBorder="1" applyAlignment="1">
      <alignment horizontal="left" vertical="center"/>
    </xf>
    <xf numFmtId="9" fontId="38" fillId="2" borderId="18" xfId="0" applyNumberFormat="1" applyFont="1" applyFill="1" applyBorder="1" applyAlignment="1">
      <alignment horizontal="left" vertical="center"/>
    </xf>
    <xf numFmtId="0" fontId="38" fillId="2" borderId="24" xfId="0" applyFont="1" applyFill="1" applyBorder="1" applyAlignment="1">
      <alignment horizontal="left" vertical="center"/>
    </xf>
    <xf numFmtId="2" fontId="38" fillId="0" borderId="18" xfId="0" applyNumberFormat="1" applyFont="1" applyBorder="1" applyAlignment="1">
      <alignment horizontal="left" vertical="center"/>
    </xf>
    <xf numFmtId="164" fontId="38" fillId="0" borderId="18" xfId="0" applyNumberFormat="1" applyFont="1" applyBorder="1" applyAlignment="1">
      <alignment horizontal="left" vertical="center"/>
    </xf>
    <xf numFmtId="0" fontId="38" fillId="2" borderId="16" xfId="0" applyFont="1" applyFill="1" applyBorder="1" applyAlignment="1">
      <alignment horizontal="left" vertical="center" wrapText="1"/>
    </xf>
    <xf numFmtId="0" fontId="38" fillId="2" borderId="10" xfId="0" applyFont="1" applyFill="1" applyBorder="1" applyAlignment="1">
      <alignment horizontal="left" vertical="center" wrapText="1"/>
    </xf>
    <xf numFmtId="0" fontId="38" fillId="2" borderId="5" xfId="0" applyFont="1" applyFill="1" applyBorder="1" applyAlignment="1">
      <alignment horizontal="left" vertical="center" wrapText="1"/>
    </xf>
    <xf numFmtId="0" fontId="38" fillId="2" borderId="14" xfId="0" applyFont="1" applyFill="1" applyBorder="1" applyAlignment="1">
      <alignment horizontal="left" vertical="center" wrapText="1"/>
    </xf>
    <xf numFmtId="0" fontId="38" fillId="2" borderId="20" xfId="0" applyFont="1" applyFill="1" applyBorder="1" applyAlignment="1">
      <alignment horizontal="left" vertical="center" wrapText="1"/>
    </xf>
    <xf numFmtId="0" fontId="38" fillId="2" borderId="15" xfId="0" applyFont="1" applyFill="1" applyBorder="1" applyAlignment="1">
      <alignment horizontal="left" vertical="center" wrapText="1"/>
    </xf>
    <xf numFmtId="0" fontId="38" fillId="2" borderId="7" xfId="0" applyFont="1" applyFill="1" applyBorder="1" applyAlignment="1">
      <alignment horizontal="left" vertical="center" wrapText="1"/>
    </xf>
    <xf numFmtId="0" fontId="36" fillId="2" borderId="1" xfId="0" applyFont="1" applyFill="1" applyBorder="1" applyAlignment="1">
      <alignment horizontal="left" vertical="center"/>
    </xf>
    <xf numFmtId="0" fontId="38" fillId="2" borderId="1" xfId="0" applyFont="1" applyFill="1" applyBorder="1" applyAlignment="1">
      <alignment horizontal="left" vertical="center"/>
    </xf>
    <xf numFmtId="0" fontId="38" fillId="0" borderId="0" xfId="0" applyFont="1" applyAlignment="1">
      <alignment horizontal="left" vertical="center"/>
    </xf>
    <xf numFmtId="0" fontId="41" fillId="2" borderId="1" xfId="0" applyFont="1" applyFill="1" applyBorder="1" applyAlignment="1">
      <alignment horizontal="center"/>
    </xf>
    <xf numFmtId="2" fontId="43" fillId="2" borderId="1" xfId="0" applyNumberFormat="1" applyFont="1" applyFill="1" applyBorder="1" applyAlignment="1">
      <alignment horizontal="center"/>
    </xf>
    <xf numFmtId="0" fontId="44" fillId="3" borderId="0" xfId="0" applyFont="1" applyFill="1" applyAlignment="1">
      <alignment horizontal="center"/>
    </xf>
    <xf numFmtId="0" fontId="44" fillId="0" borderId="0" xfId="0" applyFont="1" applyAlignment="1">
      <alignment horizontal="center"/>
    </xf>
    <xf numFmtId="0" fontId="35" fillId="17" borderId="11" xfId="0" applyFont="1" applyFill="1" applyBorder="1" applyAlignment="1">
      <alignment horizontal="center" vertical="center"/>
    </xf>
    <xf numFmtId="0" fontId="35" fillId="15" borderId="12" xfId="0" applyFont="1" applyFill="1" applyBorder="1"/>
    <xf numFmtId="0" fontId="35" fillId="15" borderId="13" xfId="0" applyFont="1" applyFill="1" applyBorder="1"/>
    <xf numFmtId="0" fontId="19" fillId="5" borderId="2" xfId="0" applyFont="1" applyFill="1" applyBorder="1" applyAlignment="1">
      <alignment horizontal="center"/>
    </xf>
    <xf numFmtId="0" fontId="19" fillId="5" borderId="30" xfId="0" applyFont="1" applyFill="1" applyBorder="1" applyAlignment="1">
      <alignment horizontal="center"/>
    </xf>
    <xf numFmtId="0" fontId="42" fillId="5" borderId="30" xfId="0" applyFont="1" applyFill="1" applyBorder="1" applyAlignment="1">
      <alignment horizontal="center"/>
    </xf>
    <xf numFmtId="0" fontId="19" fillId="5" borderId="3" xfId="0" applyFont="1" applyFill="1" applyBorder="1" applyAlignment="1">
      <alignment horizontal="center"/>
    </xf>
    <xf numFmtId="0" fontId="34" fillId="16" borderId="18" xfId="0" applyFont="1" applyFill="1" applyBorder="1" applyAlignment="1">
      <alignment horizontal="center"/>
    </xf>
    <xf numFmtId="0" fontId="33" fillId="15" borderId="14" xfId="0" applyFont="1" applyFill="1" applyBorder="1" applyAlignment="1">
      <alignment horizontal="center" vertical="center"/>
    </xf>
    <xf numFmtId="0" fontId="33" fillId="15" borderId="26" xfId="0" applyFont="1" applyFill="1" applyBorder="1" applyAlignment="1">
      <alignment horizontal="center" vertical="center"/>
    </xf>
    <xf numFmtId="0" fontId="34" fillId="16" borderId="31" xfId="0" applyFont="1" applyFill="1" applyBorder="1" applyAlignment="1">
      <alignment horizontal="center"/>
    </xf>
    <xf numFmtId="0" fontId="34" fillId="16" borderId="37" xfId="0" applyFont="1" applyFill="1" applyBorder="1" applyAlignment="1">
      <alignment horizontal="center"/>
    </xf>
    <xf numFmtId="0" fontId="34" fillId="16" borderId="46" xfId="0" applyFont="1" applyFill="1" applyBorder="1" applyAlignment="1">
      <alignment horizontal="center"/>
    </xf>
    <xf numFmtId="0" fontId="27" fillId="0" borderId="18" xfId="2" applyFont="1" applyBorder="1" applyAlignment="1">
      <alignment horizontal="center" vertical="center"/>
    </xf>
    <xf numFmtId="0" fontId="30" fillId="0" borderId="18" xfId="2" applyFont="1" applyBorder="1" applyAlignment="1">
      <alignment horizontal="center" vertical="center" wrapText="1"/>
    </xf>
    <xf numFmtId="4" fontId="29" fillId="0" borderId="18" xfId="2" applyNumberFormat="1" applyFont="1" applyBorder="1" applyAlignment="1">
      <alignment horizontal="center" vertical="center"/>
    </xf>
    <xf numFmtId="0" fontId="27" fillId="0" borderId="18" xfId="2" applyFont="1" applyBorder="1" applyAlignment="1">
      <alignment horizontal="center" vertical="center" wrapText="1"/>
    </xf>
    <xf numFmtId="0" fontId="27" fillId="11" borderId="18" xfId="2" applyFont="1" applyFill="1" applyBorder="1" applyAlignment="1">
      <alignment horizontal="center" vertical="center"/>
    </xf>
    <xf numFmtId="0" fontId="30" fillId="7" borderId="18" xfId="2" applyFont="1" applyFill="1" applyBorder="1" applyAlignment="1">
      <alignment horizontal="center" vertical="center" wrapText="1"/>
    </xf>
    <xf numFmtId="0" fontId="30" fillId="12" borderId="18" xfId="2" applyFont="1" applyFill="1" applyBorder="1" applyAlignment="1">
      <alignment horizontal="center" vertical="center" wrapText="1"/>
    </xf>
    <xf numFmtId="0" fontId="27" fillId="7" borderId="18" xfId="2" applyFont="1" applyFill="1" applyBorder="1" applyAlignment="1">
      <alignment horizontal="center" vertical="center"/>
    </xf>
    <xf numFmtId="0" fontId="28" fillId="10" borderId="18" xfId="2" applyFont="1" applyFill="1" applyBorder="1" applyAlignment="1">
      <alignment horizontal="center" vertical="center"/>
    </xf>
    <xf numFmtId="0" fontId="29" fillId="7" borderId="18" xfId="2" applyFont="1" applyFill="1" applyBorder="1" applyAlignment="1">
      <alignment horizontal="center" vertical="center"/>
    </xf>
    <xf numFmtId="2" fontId="40" fillId="2" borderId="16" xfId="0" applyNumberFormat="1" applyFont="1" applyFill="1" applyBorder="1" applyAlignment="1">
      <alignment horizontal="left" vertical="center"/>
    </xf>
    <xf numFmtId="0" fontId="38" fillId="0" borderId="23" xfId="0" applyFont="1" applyFill="1" applyBorder="1" applyAlignment="1">
      <alignment horizontal="left" vertical="center"/>
    </xf>
    <xf numFmtId="0" fontId="47" fillId="2" borderId="1" xfId="0" applyFont="1" applyFill="1" applyBorder="1"/>
    <xf numFmtId="0" fontId="47" fillId="2" borderId="1" xfId="0" applyFont="1" applyFill="1" applyBorder="1" applyAlignment="1">
      <alignment horizontal="center"/>
    </xf>
    <xf numFmtId="0" fontId="48" fillId="17" borderId="2" xfId="0" applyFont="1" applyFill="1" applyBorder="1" applyAlignment="1">
      <alignment horizontal="center"/>
    </xf>
    <xf numFmtId="0" fontId="48" fillId="15" borderId="3" xfId="0" applyFont="1" applyFill="1" applyBorder="1"/>
    <xf numFmtId="0" fontId="47" fillId="2" borderId="4" xfId="0" applyFont="1" applyFill="1" applyBorder="1"/>
    <xf numFmtId="0" fontId="47" fillId="2" borderId="5" xfId="0" applyFont="1" applyFill="1" applyBorder="1"/>
    <xf numFmtId="0" fontId="47" fillId="2" borderId="6" xfId="0" applyFont="1" applyFill="1" applyBorder="1"/>
    <xf numFmtId="0" fontId="48" fillId="17" borderId="8" xfId="0" applyFont="1" applyFill="1" applyBorder="1" applyAlignment="1">
      <alignment horizontal="center"/>
    </xf>
    <xf numFmtId="0" fontId="48" fillId="15" borderId="9" xfId="0" applyFont="1" applyFill="1" applyBorder="1"/>
    <xf numFmtId="0" fontId="47" fillId="2" borderId="4" xfId="0" applyFont="1" applyFill="1" applyBorder="1" applyAlignment="1">
      <alignment wrapText="1"/>
    </xf>
    <xf numFmtId="0" fontId="47" fillId="2" borderId="5" xfId="0" applyFont="1" applyFill="1" applyBorder="1" applyAlignment="1">
      <alignment horizontal="left"/>
    </xf>
    <xf numFmtId="0" fontId="47" fillId="2" borderId="14" xfId="0" applyFont="1" applyFill="1" applyBorder="1" applyAlignment="1">
      <alignment horizontal="center"/>
    </xf>
    <xf numFmtId="0" fontId="47" fillId="2" borderId="7" xfId="0" applyFont="1" applyFill="1" applyBorder="1"/>
    <xf numFmtId="0" fontId="47" fillId="2" borderId="21" xfId="0" applyFont="1" applyFill="1" applyBorder="1"/>
    <xf numFmtId="0" fontId="47" fillId="0" borderId="0" xfId="0" applyFont="1"/>
    <xf numFmtId="0" fontId="47" fillId="2" borderId="6" xfId="0" applyFont="1" applyFill="1" applyBorder="1" applyAlignment="1">
      <alignment vertical="center" wrapText="1"/>
    </xf>
    <xf numFmtId="0" fontId="47" fillId="2" borderId="5" xfId="0" applyFont="1" applyFill="1" applyBorder="1" applyAlignment="1">
      <alignment vertical="center" wrapText="1"/>
    </xf>
    <xf numFmtId="0" fontId="47" fillId="2" borderId="4" xfId="0" applyFont="1" applyFill="1" applyBorder="1" applyAlignment="1">
      <alignment horizontal="left" wrapText="1"/>
    </xf>
    <xf numFmtId="2" fontId="47" fillId="2" borderId="22" xfId="0" applyNumberFormat="1" applyFont="1" applyFill="1" applyBorder="1" applyAlignment="1">
      <alignment horizontal="left"/>
    </xf>
    <xf numFmtId="2" fontId="38" fillId="2" borderId="16" xfId="0" applyNumberFormat="1" applyFont="1" applyFill="1" applyBorder="1" applyAlignment="1">
      <alignment horizontal="center" vertical="center"/>
    </xf>
    <xf numFmtId="0" fontId="38" fillId="2" borderId="10" xfId="0" applyFont="1" applyFill="1" applyBorder="1" applyAlignment="1">
      <alignment horizontal="left" vertical="center"/>
    </xf>
    <xf numFmtId="0" fontId="39" fillId="2" borderId="11" xfId="0" applyFont="1" applyFill="1" applyBorder="1" applyAlignment="1">
      <alignment horizontal="left" vertical="center"/>
    </xf>
    <xf numFmtId="0" fontId="39" fillId="2" borderId="11" xfId="0" applyFont="1" applyFill="1" applyBorder="1" applyAlignment="1">
      <alignment horizontal="left" vertical="center" wrapText="1"/>
    </xf>
    <xf numFmtId="0" fontId="38" fillId="0" borderId="23" xfId="0" applyFont="1" applyFill="1" applyBorder="1" applyAlignment="1">
      <alignment horizontal="left" vertical="center" wrapText="1"/>
    </xf>
    <xf numFmtId="0" fontId="27" fillId="7" borderId="32" xfId="2" applyFont="1" applyFill="1" applyBorder="1" applyAlignment="1">
      <alignment horizontal="center" vertical="center"/>
    </xf>
    <xf numFmtId="0" fontId="27" fillId="8" borderId="33" xfId="2" applyFont="1" applyFill="1" applyBorder="1" applyAlignment="1">
      <alignment horizontal="center" vertical="center"/>
    </xf>
    <xf numFmtId="0" fontId="27" fillId="8" borderId="34" xfId="2" applyFont="1" applyFill="1" applyBorder="1" applyAlignment="1">
      <alignment horizontal="center" vertical="center"/>
    </xf>
    <xf numFmtId="0" fontId="27" fillId="8" borderId="35" xfId="2" applyFont="1" applyFill="1" applyBorder="1" applyAlignment="1">
      <alignment horizontal="center" vertical="center"/>
    </xf>
    <xf numFmtId="0" fontId="27" fillId="9" borderId="33" xfId="2" applyFont="1" applyFill="1" applyBorder="1" applyAlignment="1">
      <alignment horizontal="center" vertical="center"/>
    </xf>
    <xf numFmtId="0" fontId="27" fillId="9" borderId="34" xfId="2" applyFont="1" applyFill="1" applyBorder="1" applyAlignment="1">
      <alignment horizontal="center" vertical="center"/>
    </xf>
    <xf numFmtId="0" fontId="27" fillId="9" borderId="35" xfId="2" applyFont="1" applyFill="1" applyBorder="1" applyAlignment="1">
      <alignment horizontal="center" vertical="center"/>
    </xf>
    <xf numFmtId="0" fontId="28" fillId="10" borderId="14" xfId="2" applyFont="1" applyFill="1" applyAlignment="1">
      <alignment horizontal="center" vertical="center"/>
    </xf>
    <xf numFmtId="0" fontId="29" fillId="7" borderId="14" xfId="2" applyFont="1" applyFill="1" applyAlignment="1">
      <alignment horizontal="center" vertical="center"/>
    </xf>
    <xf numFmtId="0" fontId="27" fillId="11" borderId="14" xfId="2" applyFont="1" applyFill="1" applyAlignment="1">
      <alignment horizontal="center" vertical="center"/>
    </xf>
    <xf numFmtId="0" fontId="30" fillId="7" borderId="36" xfId="2" applyFont="1" applyFill="1" applyBorder="1" applyAlignment="1">
      <alignment horizontal="center" vertical="center" wrapText="1"/>
    </xf>
    <xf numFmtId="0" fontId="27" fillId="0" borderId="14" xfId="2" applyFont="1" applyAlignment="1">
      <alignment horizontal="center" vertical="center"/>
    </xf>
    <xf numFmtId="0" fontId="27" fillId="0" borderId="37" xfId="2" applyFont="1" applyBorder="1" applyAlignment="1">
      <alignment horizontal="center" vertical="center"/>
    </xf>
    <xf numFmtId="0" fontId="27" fillId="13" borderId="38" xfId="2" applyFont="1" applyFill="1" applyBorder="1" applyAlignment="1">
      <alignment horizontal="center" vertical="center"/>
    </xf>
    <xf numFmtId="0" fontId="27" fillId="0" borderId="31" xfId="2" applyFont="1" applyBorder="1" applyAlignment="1">
      <alignment horizontal="center" vertical="center"/>
    </xf>
    <xf numFmtId="0" fontId="28" fillId="10" borderId="39" xfId="2" applyFont="1" applyFill="1" applyBorder="1" applyAlignment="1">
      <alignment horizontal="center" vertical="center"/>
    </xf>
    <xf numFmtId="0" fontId="29" fillId="7" borderId="39" xfId="2" applyFont="1" applyFill="1" applyBorder="1" applyAlignment="1">
      <alignment horizontal="center" vertical="center"/>
    </xf>
    <xf numFmtId="0" fontId="27" fillId="0" borderId="39" xfId="2" applyFont="1" applyBorder="1" applyAlignment="1">
      <alignment horizontal="center" vertical="center"/>
    </xf>
    <xf numFmtId="0" fontId="30" fillId="7" borderId="39" xfId="2" applyFont="1" applyFill="1" applyBorder="1" applyAlignment="1">
      <alignment horizontal="center" vertical="center" wrapText="1"/>
    </xf>
    <xf numFmtId="0" fontId="32" fillId="0" borderId="41" xfId="2" applyFont="1" applyBorder="1" applyAlignment="1">
      <alignment horizontal="center" vertical="center"/>
    </xf>
    <xf numFmtId="0" fontId="32" fillId="0" borderId="28" xfId="2" applyFont="1" applyBorder="1" applyAlignment="1">
      <alignment horizontal="center" vertical="center" wrapText="1"/>
    </xf>
    <xf numFmtId="0" fontId="32" fillId="0" borderId="31" xfId="2" applyFont="1" applyBorder="1" applyAlignment="1">
      <alignment horizontal="center" vertical="center" wrapText="1"/>
    </xf>
    <xf numFmtId="0" fontId="32" fillId="13" borderId="38" xfId="2" applyFont="1" applyFill="1" applyBorder="1" applyAlignment="1">
      <alignment horizontal="center" vertical="center"/>
    </xf>
    <xf numFmtId="0" fontId="32" fillId="0" borderId="31" xfId="2" applyFont="1" applyBorder="1" applyAlignment="1">
      <alignment horizontal="center" vertical="center"/>
    </xf>
    <xf numFmtId="0" fontId="29" fillId="0" borderId="42" xfId="2" applyFont="1" applyBorder="1" applyAlignment="1">
      <alignment horizontal="center" vertical="center"/>
    </xf>
    <xf numFmtId="0" fontId="29" fillId="0" borderId="40" xfId="2" applyFont="1" applyBorder="1" applyAlignment="1">
      <alignment horizontal="center" vertical="center"/>
    </xf>
    <xf numFmtId="4" fontId="29" fillId="0" borderId="43" xfId="2" applyNumberFormat="1" applyFont="1" applyBorder="1" applyAlignment="1">
      <alignment horizontal="center" vertical="center"/>
    </xf>
    <xf numFmtId="0" fontId="29" fillId="0" borderId="44" xfId="2" applyFont="1" applyBorder="1" applyAlignment="1">
      <alignment horizontal="center" vertical="center"/>
    </xf>
    <xf numFmtId="0" fontId="32" fillId="0" borderId="45" xfId="2" applyFont="1" applyBorder="1" applyAlignment="1">
      <alignment horizontal="center" vertical="center"/>
    </xf>
    <xf numFmtId="0" fontId="32" fillId="0" borderId="43" xfId="2" applyFont="1" applyBorder="1" applyAlignment="1">
      <alignment horizontal="center" vertical="center"/>
    </xf>
    <xf numFmtId="0" fontId="27" fillId="0" borderId="44" xfId="2" applyFont="1" applyBorder="1" applyAlignment="1">
      <alignment horizontal="center" vertical="center"/>
    </xf>
    <xf numFmtId="0" fontId="29" fillId="0" borderId="43" xfId="2" applyFont="1" applyBorder="1" applyAlignment="1">
      <alignment horizontal="center" vertical="center" wrapText="1"/>
    </xf>
    <xf numFmtId="0" fontId="30" fillId="0" borderId="44" xfId="2" applyFont="1" applyBorder="1" applyAlignment="1">
      <alignment horizontal="center" vertical="center" wrapText="1"/>
    </xf>
    <xf numFmtId="0" fontId="32" fillId="0" borderId="28" xfId="2" applyFont="1" applyBorder="1" applyAlignment="1">
      <alignment horizontal="center" vertical="center"/>
    </xf>
    <xf numFmtId="0" fontId="27" fillId="0" borderId="46" xfId="2" applyFont="1" applyBorder="1" applyAlignment="1">
      <alignment horizontal="center" vertical="center"/>
    </xf>
    <xf numFmtId="0" fontId="27" fillId="0" borderId="31" xfId="2" applyFont="1" applyBorder="1" applyAlignment="1">
      <alignment horizontal="center" vertical="center" wrapText="1"/>
    </xf>
    <xf numFmtId="0" fontId="29" fillId="0" borderId="47" xfId="2" applyFont="1" applyBorder="1" applyAlignment="1">
      <alignment horizontal="center" vertical="center"/>
    </xf>
    <xf numFmtId="0" fontId="29" fillId="0" borderId="41" xfId="2" applyFont="1" applyBorder="1" applyAlignment="1">
      <alignment horizontal="center" vertical="center"/>
    </xf>
    <xf numFmtId="4" fontId="29" fillId="0" borderId="28" xfId="2" applyNumberFormat="1" applyFont="1" applyBorder="1" applyAlignment="1">
      <alignment horizontal="center" vertical="center"/>
    </xf>
    <xf numFmtId="0" fontId="29" fillId="0" borderId="28" xfId="2" applyFont="1" applyBorder="1" applyAlignment="1">
      <alignment horizontal="center" vertical="center"/>
    </xf>
    <xf numFmtId="0" fontId="27" fillId="0" borderId="41" xfId="2" applyFont="1" applyBorder="1" applyAlignment="1">
      <alignment horizontal="center" vertical="center"/>
    </xf>
    <xf numFmtId="0" fontId="27" fillId="0" borderId="28" xfId="2" applyFont="1" applyBorder="1" applyAlignment="1">
      <alignment horizontal="center" vertical="center"/>
    </xf>
    <xf numFmtId="0" fontId="30" fillId="0" borderId="28" xfId="2" applyFont="1" applyBorder="1" applyAlignment="1">
      <alignment horizontal="center" vertical="center" wrapText="1"/>
    </xf>
    <xf numFmtId="0" fontId="27" fillId="0" borderId="40" xfId="2" applyFont="1" applyBorder="1" applyAlignment="1">
      <alignment horizontal="center" vertical="center"/>
    </xf>
    <xf numFmtId="0" fontId="27" fillId="0" borderId="44" xfId="2" applyFont="1" applyBorder="1" applyAlignment="1">
      <alignment horizontal="center" vertical="center" wrapText="1"/>
    </xf>
    <xf numFmtId="0" fontId="27" fillId="0" borderId="50" xfId="2" applyFont="1" applyBorder="1" applyAlignment="1">
      <alignment horizontal="center" vertical="center" wrapText="1"/>
    </xf>
    <xf numFmtId="0" fontId="27" fillId="13" borderId="14" xfId="2" applyFont="1" applyFill="1" applyAlignment="1">
      <alignment horizontal="center" vertical="center"/>
    </xf>
    <xf numFmtId="0" fontId="29" fillId="0" borderId="51" xfId="2" applyFont="1" applyBorder="1" applyAlignment="1">
      <alignment horizontal="center" vertical="center"/>
    </xf>
    <xf numFmtId="0" fontId="27" fillId="0" borderId="52" xfId="2" applyFont="1" applyBorder="1" applyAlignment="1">
      <alignment horizontal="center" vertical="center"/>
    </xf>
    <xf numFmtId="0" fontId="30" fillId="0" borderId="44" xfId="2" applyFont="1" applyBorder="1" applyAlignment="1">
      <alignment horizontal="center" vertical="center"/>
    </xf>
    <xf numFmtId="0" fontId="27" fillId="0" borderId="14" xfId="2" applyFont="1" applyAlignment="1">
      <alignment horizontal="center" vertical="center"/>
    </xf>
    <xf numFmtId="0" fontId="27" fillId="0" borderId="28" xfId="2" applyFont="1" applyBorder="1" applyAlignment="1">
      <alignment horizontal="center" vertical="center" wrapText="1"/>
    </xf>
    <xf numFmtId="0" fontId="27" fillId="0" borderId="53" xfId="2" applyFont="1" applyBorder="1" applyAlignment="1">
      <alignment horizontal="center" vertical="center" wrapText="1"/>
    </xf>
    <xf numFmtId="0" fontId="27" fillId="0" borderId="54" xfId="2" applyFont="1" applyBorder="1" applyAlignment="1">
      <alignment horizontal="center" vertical="center"/>
    </xf>
    <xf numFmtId="0" fontId="30" fillId="0" borderId="28" xfId="2" applyFont="1" applyBorder="1" applyAlignment="1">
      <alignment horizontal="center" vertical="center"/>
    </xf>
    <xf numFmtId="0" fontId="27" fillId="0" borderId="41" xfId="2" applyFont="1" applyBorder="1" applyAlignment="1">
      <alignment horizontal="center" vertical="center"/>
    </xf>
    <xf numFmtId="0" fontId="27" fillId="0" borderId="28" xfId="2" applyFont="1" applyBorder="1" applyAlignment="1">
      <alignment horizontal="center" vertical="center" wrapText="1"/>
    </xf>
    <xf numFmtId="0" fontId="27" fillId="0" borderId="54" xfId="2" applyFont="1" applyBorder="1" applyAlignment="1">
      <alignment horizontal="center" vertical="center" wrapText="1"/>
    </xf>
    <xf numFmtId="0" fontId="29" fillId="0" borderId="47" xfId="2" applyFont="1" applyBorder="1" applyAlignment="1">
      <alignment horizontal="center" vertical="center"/>
    </xf>
    <xf numFmtId="0" fontId="29" fillId="0" borderId="39" xfId="2" applyFont="1" applyBorder="1" applyAlignment="1">
      <alignment horizontal="center" vertical="center"/>
    </xf>
    <xf numFmtId="0" fontId="29" fillId="0" borderId="46" xfId="2" applyFont="1" applyBorder="1" applyAlignment="1">
      <alignment horizontal="center" vertical="center"/>
    </xf>
    <xf numFmtId="0" fontId="27" fillId="0" borderId="46" xfId="2" applyFont="1" applyBorder="1" applyAlignment="1">
      <alignment horizontal="center" vertical="center"/>
    </xf>
    <xf numFmtId="0" fontId="27" fillId="0" borderId="44" xfId="2" applyFont="1" applyBorder="1" applyAlignment="1">
      <alignment horizontal="center" vertical="center"/>
    </xf>
    <xf numFmtId="0" fontId="30" fillId="0" borderId="44" xfId="2" applyFont="1" applyBorder="1" applyAlignment="1">
      <alignment horizontal="center" vertical="center" wrapText="1"/>
    </xf>
    <xf numFmtId="0" fontId="32" fillId="0" borderId="14" xfId="2" applyFont="1" applyAlignment="1">
      <alignment horizontal="center" vertical="center"/>
    </xf>
    <xf numFmtId="0" fontId="32" fillId="0" borderId="14" xfId="2" applyFont="1" applyAlignment="1">
      <alignment horizontal="center" vertical="center"/>
    </xf>
    <xf numFmtId="0" fontId="27" fillId="0" borderId="55" xfId="2" applyFont="1" applyBorder="1" applyAlignment="1">
      <alignment horizontal="center" vertical="center" wrapText="1"/>
    </xf>
    <xf numFmtId="4" fontId="27" fillId="13" borderId="38" xfId="2" applyNumberFormat="1" applyFont="1" applyFill="1" applyBorder="1" applyAlignment="1">
      <alignment horizontal="center" vertical="center"/>
    </xf>
    <xf numFmtId="0" fontId="29" fillId="0" borderId="36" xfId="2" applyFont="1" applyBorder="1" applyAlignment="1">
      <alignment horizontal="center" vertical="center"/>
    </xf>
    <xf numFmtId="0" fontId="27" fillId="0" borderId="36" xfId="2" applyFont="1" applyBorder="1" applyAlignment="1">
      <alignment horizontal="center" vertical="center"/>
    </xf>
    <xf numFmtId="0" fontId="30" fillId="0" borderId="36" xfId="2" applyFont="1" applyBorder="1" applyAlignment="1">
      <alignment horizontal="center" vertical="center" wrapText="1"/>
    </xf>
    <xf numFmtId="4" fontId="29" fillId="0" borderId="56" xfId="2" applyNumberFormat="1" applyFont="1" applyBorder="1" applyAlignment="1">
      <alignment horizontal="center" vertical="center"/>
    </xf>
    <xf numFmtId="0" fontId="32" fillId="0" borderId="46" xfId="2" applyFont="1" applyBorder="1" applyAlignment="1">
      <alignment horizontal="center" vertical="center"/>
    </xf>
    <xf numFmtId="4" fontId="32" fillId="13" borderId="38" xfId="2" applyNumberFormat="1" applyFont="1" applyFill="1" applyBorder="1" applyAlignment="1">
      <alignment horizontal="center" vertical="center"/>
    </xf>
    <xf numFmtId="4" fontId="29" fillId="0" borderId="57" xfId="2" applyNumberFormat="1" applyFont="1" applyBorder="1" applyAlignment="1">
      <alignment horizontal="center" vertical="center"/>
    </xf>
    <xf numFmtId="0" fontId="32" fillId="0" borderId="44" xfId="2" applyFont="1" applyBorder="1" applyAlignment="1">
      <alignment horizontal="center" vertical="center"/>
    </xf>
    <xf numFmtId="0" fontId="29" fillId="0" borderId="44" xfId="2" applyFont="1" applyBorder="1" applyAlignment="1">
      <alignment horizontal="center" vertical="center" wrapText="1"/>
    </xf>
    <xf numFmtId="4" fontId="29" fillId="0" borderId="51" xfId="2" applyNumberFormat="1" applyFont="1" applyBorder="1" applyAlignment="1">
      <alignment horizontal="center" vertical="center"/>
    </xf>
    <xf numFmtId="4" fontId="29" fillId="0" borderId="44" xfId="2" applyNumberFormat="1" applyFont="1" applyBorder="1" applyAlignment="1">
      <alignment horizontal="center" vertical="center"/>
    </xf>
    <xf numFmtId="4" fontId="29" fillId="0" borderId="47" xfId="2" applyNumberFormat="1" applyFont="1" applyBorder="1" applyAlignment="1">
      <alignment horizontal="center" vertical="center"/>
    </xf>
    <xf numFmtId="3" fontId="29" fillId="0" borderId="40" xfId="2" applyNumberFormat="1" applyFont="1" applyBorder="1" applyAlignment="1">
      <alignment horizontal="center" vertical="center"/>
    </xf>
    <xf numFmtId="3" fontId="29" fillId="0" borderId="44" xfId="2" applyNumberFormat="1" applyFont="1" applyBorder="1" applyAlignment="1">
      <alignment horizontal="center" vertical="center"/>
    </xf>
    <xf numFmtId="0" fontId="27" fillId="0" borderId="58" xfId="2" applyFont="1" applyBorder="1" applyAlignment="1">
      <alignment horizontal="center" vertical="center" wrapText="1"/>
    </xf>
    <xf numFmtId="4" fontId="29" fillId="0" borderId="42" xfId="2" applyNumberFormat="1" applyFont="1" applyBorder="1" applyAlignment="1">
      <alignment horizontal="center" vertical="center"/>
    </xf>
    <xf numFmtId="3" fontId="29" fillId="0" borderId="45" xfId="2" applyNumberFormat="1" applyFont="1" applyBorder="1" applyAlignment="1">
      <alignment horizontal="center" vertical="center"/>
    </xf>
    <xf numFmtId="3" fontId="29" fillId="0" borderId="43" xfId="2" applyNumberFormat="1" applyFont="1" applyBorder="1" applyAlignment="1">
      <alignment horizontal="center" vertical="center"/>
    </xf>
    <xf numFmtId="0" fontId="27" fillId="0" borderId="45" xfId="2" applyFont="1" applyBorder="1" applyAlignment="1">
      <alignment horizontal="center" vertical="center"/>
    </xf>
    <xf numFmtId="0" fontId="27" fillId="0" borderId="43" xfId="2" applyFont="1" applyBorder="1" applyAlignment="1">
      <alignment horizontal="center" vertical="center"/>
    </xf>
    <xf numFmtId="0" fontId="30" fillId="0" borderId="43" xfId="2" applyFont="1" applyBorder="1" applyAlignment="1">
      <alignment horizontal="center" vertical="center" wrapText="1"/>
    </xf>
    <xf numFmtId="0" fontId="27" fillId="0" borderId="39" xfId="2" applyFont="1" applyBorder="1" applyAlignment="1">
      <alignment horizontal="center" vertical="center"/>
    </xf>
    <xf numFmtId="3" fontId="29" fillId="0" borderId="41" xfId="2" applyNumberFormat="1" applyFont="1" applyBorder="1" applyAlignment="1">
      <alignment horizontal="center" vertical="center"/>
    </xf>
    <xf numFmtId="3" fontId="29" fillId="0" borderId="28" xfId="2" applyNumberFormat="1" applyFont="1" applyBorder="1" applyAlignment="1">
      <alignment horizontal="center" vertical="center"/>
    </xf>
    <xf numFmtId="0" fontId="32" fillId="0" borderId="39" xfId="2" applyFont="1" applyBorder="1" applyAlignment="1">
      <alignment horizontal="center" vertical="center" wrapText="1"/>
    </xf>
    <xf numFmtId="0" fontId="29" fillId="0" borderId="37" xfId="2" applyFont="1" applyBorder="1" applyAlignment="1">
      <alignment horizontal="center" vertical="center"/>
    </xf>
    <xf numFmtId="0" fontId="32" fillId="0" borderId="36" xfId="2" applyFont="1" applyBorder="1" applyAlignment="1">
      <alignment horizontal="center" vertical="center"/>
    </xf>
    <xf numFmtId="0" fontId="29" fillId="0" borderId="36" xfId="2" applyFont="1" applyBorder="1" applyAlignment="1">
      <alignment horizontal="center" vertical="center" wrapText="1"/>
    </xf>
    <xf numFmtId="0" fontId="27" fillId="0" borderId="28" xfId="2" applyFont="1" applyBorder="1" applyAlignment="1">
      <alignment horizontal="center" vertical="center"/>
    </xf>
    <xf numFmtId="4" fontId="29" fillId="0" borderId="47" xfId="2" applyNumberFormat="1" applyFont="1" applyBorder="1" applyAlignment="1">
      <alignment horizontal="center" vertical="center"/>
    </xf>
    <xf numFmtId="4" fontId="29" fillId="0" borderId="28" xfId="2" applyNumberFormat="1" applyFont="1" applyBorder="1" applyAlignment="1">
      <alignment horizontal="center" vertical="center"/>
    </xf>
    <xf numFmtId="0" fontId="27" fillId="0" borderId="54" xfId="2" applyFont="1" applyBorder="1" applyAlignment="1">
      <alignment horizontal="center" vertical="center"/>
    </xf>
    <xf numFmtId="0" fontId="27" fillId="0" borderId="43" xfId="2" applyFont="1" applyBorder="1" applyAlignment="1">
      <alignment horizontal="center" vertical="center"/>
    </xf>
    <xf numFmtId="0" fontId="30" fillId="0" borderId="28" xfId="2" applyFont="1" applyBorder="1" applyAlignment="1">
      <alignment horizontal="center" vertical="center" wrapText="1"/>
    </xf>
    <xf numFmtId="0" fontId="27" fillId="0" borderId="43" xfId="2" applyFont="1" applyBorder="1" applyAlignment="1">
      <alignment horizontal="center" vertical="center" wrapText="1"/>
    </xf>
    <xf numFmtId="3" fontId="29" fillId="0" borderId="39" xfId="2" applyNumberFormat="1" applyFont="1" applyBorder="1" applyAlignment="1">
      <alignment horizontal="center" vertical="center"/>
    </xf>
    <xf numFmtId="0" fontId="32" fillId="0" borderId="37" xfId="2" applyFont="1" applyBorder="1" applyAlignment="1">
      <alignment horizontal="center" vertical="center" wrapText="1"/>
    </xf>
    <xf numFmtId="0" fontId="29" fillId="0" borderId="28" xfId="2" applyFont="1" applyBorder="1" applyAlignment="1">
      <alignment horizontal="center" vertical="center"/>
    </xf>
    <xf numFmtId="0" fontId="27" fillId="0" borderId="46" xfId="2" applyFont="1" applyBorder="1" applyAlignment="1">
      <alignment horizontal="center" vertical="center" wrapText="1"/>
    </xf>
    <xf numFmtId="0" fontId="27" fillId="13" borderId="38" xfId="2" applyFont="1" applyFill="1" applyBorder="1" applyAlignment="1">
      <alignment horizontal="center" vertical="center" wrapText="1"/>
    </xf>
    <xf numFmtId="0" fontId="29" fillId="0" borderId="57" xfId="2" applyFont="1" applyBorder="1" applyAlignment="1">
      <alignment horizontal="center" vertical="center"/>
    </xf>
    <xf numFmtId="0" fontId="32" fillId="0" borderId="37" xfId="2" applyFont="1" applyBorder="1" applyAlignment="1">
      <alignment horizontal="center" vertical="center"/>
    </xf>
    <xf numFmtId="0" fontId="29" fillId="0" borderId="57" xfId="2" applyFont="1" applyBorder="1" applyAlignment="1">
      <alignment horizontal="center" vertical="center" wrapText="1"/>
    </xf>
    <xf numFmtId="0" fontId="27" fillId="0" borderId="40" xfId="2" applyFont="1" applyBorder="1" applyAlignment="1">
      <alignment horizontal="center" vertical="center" wrapText="1"/>
    </xf>
    <xf numFmtId="0" fontId="29" fillId="0" borderId="51" xfId="2" applyFont="1" applyBorder="1" applyAlignment="1">
      <alignment horizontal="center" vertical="center" wrapText="1"/>
    </xf>
    <xf numFmtId="0" fontId="29" fillId="0" borderId="44" xfId="2" applyFont="1" applyBorder="1" applyAlignment="1">
      <alignment horizontal="center" vertical="center" wrapText="1"/>
    </xf>
    <xf numFmtId="0" fontId="27" fillId="0" borderId="41" xfId="2" applyFont="1" applyBorder="1" applyAlignment="1">
      <alignment horizontal="center" vertical="center" wrapText="1"/>
    </xf>
    <xf numFmtId="2" fontId="27" fillId="13" borderId="38" xfId="2" applyNumberFormat="1" applyFont="1" applyFill="1" applyBorder="1" applyAlignment="1">
      <alignment horizontal="center" vertical="center" wrapText="1"/>
    </xf>
    <xf numFmtId="0" fontId="29" fillId="0" borderId="47" xfId="2" applyFont="1" applyBorder="1" applyAlignment="1">
      <alignment horizontal="center" vertical="center" wrapText="1"/>
    </xf>
    <xf numFmtId="0" fontId="29" fillId="0" borderId="28" xfId="2" applyFont="1" applyBorder="1" applyAlignment="1">
      <alignment horizontal="center" vertical="center" wrapText="1"/>
    </xf>
    <xf numFmtId="0" fontId="27" fillId="0" borderId="37" xfId="2" applyFont="1" applyBorder="1" applyAlignment="1">
      <alignment horizontal="center" vertical="center" wrapText="1"/>
    </xf>
    <xf numFmtId="0" fontId="27" fillId="0" borderId="36" xfId="2" applyFont="1" applyBorder="1" applyAlignment="1">
      <alignment horizontal="center" vertical="center"/>
    </xf>
    <xf numFmtId="0" fontId="30" fillId="0" borderId="36" xfId="2" applyFont="1" applyBorder="1" applyAlignment="1">
      <alignment horizontal="center" vertical="center" wrapText="1"/>
    </xf>
    <xf numFmtId="0" fontId="27" fillId="0" borderId="41" xfId="2" applyFont="1" applyBorder="1" applyAlignment="1">
      <alignment horizontal="center" vertical="center" wrapText="1"/>
    </xf>
    <xf numFmtId="0" fontId="29" fillId="0" borderId="47" xfId="2" applyFont="1" applyBorder="1" applyAlignment="1">
      <alignment horizontal="center" vertical="center" wrapText="1"/>
    </xf>
    <xf numFmtId="0" fontId="29" fillId="0" borderId="28" xfId="2" applyFont="1" applyBorder="1" applyAlignment="1">
      <alignment horizontal="center" vertical="center" wrapText="1"/>
    </xf>
    <xf numFmtId="0" fontId="30" fillId="0" borderId="28" xfId="2" applyFont="1" applyBorder="1" applyAlignment="1">
      <alignment horizontal="center" vertical="center"/>
    </xf>
    <xf numFmtId="0" fontId="27" fillId="0" borderId="40" xfId="2" applyFont="1" applyBorder="1" applyAlignment="1">
      <alignment horizontal="center" vertical="center"/>
    </xf>
    <xf numFmtId="0" fontId="27" fillId="0" borderId="52" xfId="2" applyFont="1" applyBorder="1" applyAlignment="1">
      <alignment horizontal="center" vertical="center"/>
    </xf>
    <xf numFmtId="0" fontId="27" fillId="13" borderId="59" xfId="2" applyFont="1" applyFill="1" applyBorder="1" applyAlignment="1">
      <alignment horizontal="center" vertical="center"/>
    </xf>
    <xf numFmtId="0" fontId="29" fillId="0" borderId="51" xfId="2" applyFont="1" applyBorder="1" applyAlignment="1">
      <alignment horizontal="center" vertical="center" wrapText="1"/>
    </xf>
    <xf numFmtId="0" fontId="30" fillId="0" borderId="44" xfId="2" applyFont="1" applyBorder="1" applyAlignment="1">
      <alignment horizontal="center" vertical="center"/>
    </xf>
    <xf numFmtId="0" fontId="27" fillId="13" borderId="18" xfId="2" applyFont="1" applyFill="1" applyBorder="1" applyAlignment="1">
      <alignment horizontal="center" vertical="center"/>
    </xf>
    <xf numFmtId="4" fontId="27" fillId="0" borderId="14" xfId="2" applyNumberFormat="1" applyFont="1" applyAlignment="1">
      <alignment horizontal="center" vertical="center"/>
    </xf>
    <xf numFmtId="0" fontId="29" fillId="0" borderId="14" xfId="2" applyFont="1" applyAlignment="1">
      <alignment horizontal="center" vertical="center"/>
    </xf>
    <xf numFmtId="0" fontId="30" fillId="0" borderId="14" xfId="2" applyFont="1" applyAlignment="1">
      <alignment horizontal="center" vertical="center"/>
    </xf>
    <xf numFmtId="9" fontId="27" fillId="0" borderId="14" xfId="3" applyFont="1" applyAlignment="1">
      <alignment horizontal="center" vertical="center"/>
    </xf>
    <xf numFmtId="4" fontId="52" fillId="0" borderId="48" xfId="2" applyNumberFormat="1" applyFont="1" applyBorder="1" applyAlignment="1">
      <alignment horizontal="center" vertical="center" wrapText="1"/>
    </xf>
    <xf numFmtId="3" fontId="52" fillId="0" borderId="49" xfId="2" applyNumberFormat="1" applyFont="1" applyBorder="1" applyAlignment="1">
      <alignment horizontal="center" vertical="center" wrapText="1"/>
    </xf>
    <xf numFmtId="0" fontId="51" fillId="0" borderId="28" xfId="2" applyFont="1" applyBorder="1" applyAlignment="1">
      <alignment horizontal="center" vertical="center"/>
    </xf>
    <xf numFmtId="0" fontId="30" fillId="14" borderId="18" xfId="2" applyFont="1" applyFill="1" applyBorder="1" applyAlignment="1">
      <alignment horizontal="center" vertical="center" wrapText="1"/>
    </xf>
    <xf numFmtId="0" fontId="29" fillId="0" borderId="40" xfId="2" applyFont="1" applyBorder="1" applyAlignment="1">
      <alignment horizontal="center" vertical="center"/>
    </xf>
    <xf numFmtId="0" fontId="29" fillId="0" borderId="41" xfId="2" applyFont="1" applyBorder="1" applyAlignment="1">
      <alignment horizontal="center" vertical="center"/>
    </xf>
    <xf numFmtId="0" fontId="27" fillId="0" borderId="14" xfId="2" applyFont="1" applyAlignment="1">
      <alignment horizontal="center" vertical="center" wrapText="1"/>
    </xf>
    <xf numFmtId="2" fontId="7" fillId="0" borderId="18" xfId="0" applyNumberFormat="1" applyFont="1" applyFill="1" applyBorder="1" applyAlignment="1">
      <alignment horizontal="center" vertical="center"/>
    </xf>
    <xf numFmtId="2" fontId="8" fillId="0" borderId="31" xfId="0" applyNumberFormat="1" applyFont="1" applyFill="1" applyBorder="1" applyAlignment="1">
      <alignment horizontal="center" vertical="center"/>
    </xf>
    <xf numFmtId="2" fontId="7" fillId="0" borderId="31" xfId="0" applyNumberFormat="1" applyFont="1" applyFill="1" applyBorder="1" applyAlignment="1">
      <alignment horizontal="center" vertical="center"/>
    </xf>
    <xf numFmtId="2" fontId="15" fillId="0" borderId="18" xfId="0" applyNumberFormat="1" applyFont="1" applyFill="1" applyBorder="1" applyAlignment="1">
      <alignment horizontal="center" vertical="center"/>
    </xf>
    <xf numFmtId="2" fontId="15" fillId="0" borderId="31" xfId="0" applyNumberFormat="1" applyFont="1" applyFill="1" applyBorder="1" applyAlignment="1">
      <alignment horizontal="center" vertical="center"/>
    </xf>
    <xf numFmtId="2" fontId="8" fillId="0" borderId="18" xfId="0" applyNumberFormat="1" applyFont="1" applyFill="1" applyBorder="1" applyAlignment="1">
      <alignment horizontal="center" vertical="center"/>
    </xf>
    <xf numFmtId="2" fontId="16" fillId="0" borderId="18" xfId="0" applyNumberFormat="1" applyFont="1" applyFill="1" applyBorder="1" applyAlignment="1">
      <alignment horizontal="center" vertical="center"/>
    </xf>
    <xf numFmtId="2" fontId="16" fillId="0" borderId="31" xfId="0" applyNumberFormat="1" applyFont="1" applyFill="1" applyBorder="1" applyAlignment="1">
      <alignment horizontal="center" vertical="center"/>
    </xf>
  </cellXfs>
  <cellStyles count="4">
    <cellStyle name="Hipervínculo" xfId="1" builtinId="8"/>
    <cellStyle name="Normal" xfId="0" builtinId="0"/>
    <cellStyle name="Normal 2" xfId="2" xr:uid="{85CCFFBD-D9CE-45F6-9687-9C0469AEFB0E}"/>
    <cellStyle name="Porcentaje 2" xfId="3" xr:uid="{4EE1A2EB-E297-4886-8123-7FB84B3A111C}"/>
  </cellStyles>
  <dxfs count="1">
    <dxf>
      <font>
        <color rgb="FF9C0006"/>
      </font>
      <fill>
        <patternFill>
          <bgColor rgb="FFFFC7CE"/>
        </patternFill>
      </fill>
    </dxf>
  </dxfs>
  <tableStyles count="0" defaultTableStyle="TableStyleMedium2" defaultPivotStyle="PivotStyleLight16"/>
  <colors>
    <mruColors>
      <color rgb="FF003399"/>
      <color rgb="FF9999FF"/>
      <color rgb="FF00CC99"/>
      <color rgb="FFF8F8F8"/>
      <color rgb="FFCC6600"/>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png"/><Relationship Id="rId18" Type="http://schemas.openxmlformats.org/officeDocument/2006/relationships/image" Target="../media/image16.jp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10.png"/><Relationship Id="rId17" Type="http://schemas.openxmlformats.org/officeDocument/2006/relationships/image" Target="../media/image15.png"/><Relationship Id="rId2" Type="http://schemas.microsoft.com/office/2011/relationships/chartColorStyle" Target="colors1.xml"/><Relationship Id="rId16" Type="http://schemas.openxmlformats.org/officeDocument/2006/relationships/image" Target="../media/image14.png"/><Relationship Id="rId1" Type="http://schemas.microsoft.com/office/2011/relationships/chartStyle" Target="style1.xml"/><Relationship Id="rId6" Type="http://schemas.openxmlformats.org/officeDocument/2006/relationships/image" Target="../media/image4.jpg"/><Relationship Id="rId11" Type="http://schemas.openxmlformats.org/officeDocument/2006/relationships/image" Target="../media/image9.png"/><Relationship Id="rId5" Type="http://schemas.openxmlformats.org/officeDocument/2006/relationships/image" Target="../media/image3.png"/><Relationship Id="rId15" Type="http://schemas.openxmlformats.org/officeDocument/2006/relationships/image" Target="../media/image13.png"/><Relationship Id="rId10" Type="http://schemas.openxmlformats.org/officeDocument/2006/relationships/image" Target="../media/image8.pn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image" Target="../media/image12.png"/></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Herramienta!$C$38</c:f>
              <c:strCache>
                <c:ptCount val="1"/>
                <c:pt idx="0">
                  <c:v>Score</c:v>
                </c:pt>
              </c:strCache>
            </c:strRef>
          </c:tx>
          <c:spPr>
            <a:noFill/>
            <a:ln w="38100" cap="flat" cmpd="sng" algn="ctr">
              <a:solidFill>
                <a:srgbClr val="003399"/>
              </a:solidFill>
              <a:miter lim="800000"/>
            </a:ln>
            <a:effectLst/>
          </c:spPr>
          <c:invertIfNegative val="0"/>
          <c:dPt>
            <c:idx val="0"/>
            <c:invertIfNegative val="0"/>
            <c:bubble3D val="0"/>
            <c:spPr>
              <a:blipFill>
                <a:blip xmlns:r="http://schemas.openxmlformats.org/officeDocument/2006/relationships" r:embed="rId3"/>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1-EFC3-4AB9-A390-F6C9FC789634}"/>
              </c:ext>
            </c:extLst>
          </c:dPt>
          <c:dPt>
            <c:idx val="1"/>
            <c:invertIfNegative val="0"/>
            <c:bubble3D val="0"/>
            <c:spPr>
              <a:blipFill dpi="0" rotWithShape="1">
                <a:blip xmlns:r="http://schemas.openxmlformats.org/officeDocument/2006/relationships" r:embed="rId4"/>
                <a:srcRect/>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2-EFC3-4AB9-A390-F6C9FC789634}"/>
              </c:ext>
            </c:extLst>
          </c:dPt>
          <c:dPt>
            <c:idx val="2"/>
            <c:invertIfNegative val="0"/>
            <c:bubble3D val="0"/>
            <c:spPr>
              <a:blipFill dpi="0" rotWithShape="1">
                <a:blip xmlns:r="http://schemas.openxmlformats.org/officeDocument/2006/relationships" r:embed="rId5"/>
                <a:srcRect/>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3-EFC3-4AB9-A390-F6C9FC789634}"/>
              </c:ext>
            </c:extLst>
          </c:dPt>
          <c:dPt>
            <c:idx val="3"/>
            <c:invertIfNegative val="0"/>
            <c:bubble3D val="0"/>
            <c:spPr>
              <a:blipFill>
                <a:blip xmlns:r="http://schemas.openxmlformats.org/officeDocument/2006/relationships" r:embed="rId6"/>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4-EFC3-4AB9-A390-F6C9FC789634}"/>
              </c:ext>
            </c:extLst>
          </c:dPt>
          <c:dPt>
            <c:idx val="4"/>
            <c:invertIfNegative val="0"/>
            <c:bubble3D val="0"/>
            <c:spPr>
              <a:blipFill>
                <a:blip xmlns:r="http://schemas.openxmlformats.org/officeDocument/2006/relationships" r:embed="rId7"/>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8-A862-4F87-9B5C-478F6EACAC36}"/>
              </c:ext>
            </c:extLst>
          </c:dPt>
          <c:dPt>
            <c:idx val="5"/>
            <c:invertIfNegative val="0"/>
            <c:bubble3D val="0"/>
            <c:spPr>
              <a:blipFill>
                <a:blip xmlns:r="http://schemas.openxmlformats.org/officeDocument/2006/relationships" r:embed="rId8"/>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9-A862-4F87-9B5C-478F6EACAC36}"/>
              </c:ext>
            </c:extLst>
          </c:dPt>
          <c:dPt>
            <c:idx val="6"/>
            <c:invertIfNegative val="0"/>
            <c:bubble3D val="0"/>
            <c:spPr>
              <a:blipFill>
                <a:blip xmlns:r="http://schemas.openxmlformats.org/officeDocument/2006/relationships" r:embed="rId7"/>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A-A862-4F87-9B5C-478F6EACAC36}"/>
              </c:ext>
            </c:extLst>
          </c:dPt>
          <c:dPt>
            <c:idx val="7"/>
            <c:invertIfNegative val="0"/>
            <c:bubble3D val="0"/>
            <c:spPr>
              <a:blipFill>
                <a:blip xmlns:r="http://schemas.openxmlformats.org/officeDocument/2006/relationships" r:embed="rId9"/>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B-A862-4F87-9B5C-478F6EACAC36}"/>
              </c:ext>
            </c:extLst>
          </c:dPt>
          <c:dPt>
            <c:idx val="8"/>
            <c:invertIfNegative val="0"/>
            <c:bubble3D val="0"/>
            <c:spPr>
              <a:blipFill>
                <a:blip xmlns:r="http://schemas.openxmlformats.org/officeDocument/2006/relationships" r:embed="rId9"/>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C-A862-4F87-9B5C-478F6EACAC36}"/>
              </c:ext>
            </c:extLst>
          </c:dPt>
          <c:dPt>
            <c:idx val="9"/>
            <c:invertIfNegative val="0"/>
            <c:bubble3D val="0"/>
            <c:spPr>
              <a:blipFill>
                <a:blip xmlns:r="http://schemas.openxmlformats.org/officeDocument/2006/relationships" r:embed="rId10"/>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D-A862-4F87-9B5C-478F6EACAC36}"/>
              </c:ext>
            </c:extLst>
          </c:dPt>
          <c:dPt>
            <c:idx val="10"/>
            <c:invertIfNegative val="0"/>
            <c:bubble3D val="0"/>
            <c:spPr>
              <a:blipFill>
                <a:blip xmlns:r="http://schemas.openxmlformats.org/officeDocument/2006/relationships" r:embed="rId3"/>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E-A862-4F87-9B5C-478F6EACAC36}"/>
              </c:ext>
            </c:extLst>
          </c:dPt>
          <c:dPt>
            <c:idx val="11"/>
            <c:invertIfNegative val="0"/>
            <c:bubble3D val="0"/>
            <c:spPr>
              <a:blipFill>
                <a:blip xmlns:r="http://schemas.openxmlformats.org/officeDocument/2006/relationships" r:embed="rId4"/>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0F-A862-4F87-9B5C-478F6EACAC36}"/>
              </c:ext>
            </c:extLst>
          </c:dPt>
          <c:dPt>
            <c:idx val="12"/>
            <c:invertIfNegative val="0"/>
            <c:bubble3D val="0"/>
            <c:spPr>
              <a:blipFill>
                <a:blip xmlns:r="http://schemas.openxmlformats.org/officeDocument/2006/relationships" r:embed="rId11"/>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0-A862-4F87-9B5C-478F6EACAC36}"/>
              </c:ext>
            </c:extLst>
          </c:dPt>
          <c:dPt>
            <c:idx val="13"/>
            <c:invertIfNegative val="0"/>
            <c:bubble3D val="0"/>
            <c:spPr>
              <a:blipFill>
                <a:blip xmlns:r="http://schemas.openxmlformats.org/officeDocument/2006/relationships" r:embed="rId10"/>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1-A862-4F87-9B5C-478F6EACAC36}"/>
              </c:ext>
            </c:extLst>
          </c:dPt>
          <c:dPt>
            <c:idx val="14"/>
            <c:invertIfNegative val="0"/>
            <c:bubble3D val="0"/>
            <c:spPr>
              <a:blipFill>
                <a:blip xmlns:r="http://schemas.openxmlformats.org/officeDocument/2006/relationships" r:embed="rId12"/>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2-A862-4F87-9B5C-478F6EACAC36}"/>
              </c:ext>
            </c:extLst>
          </c:dPt>
          <c:dPt>
            <c:idx val="15"/>
            <c:invertIfNegative val="0"/>
            <c:bubble3D val="0"/>
            <c:spPr>
              <a:blipFill>
                <a:blip xmlns:r="http://schemas.openxmlformats.org/officeDocument/2006/relationships" r:embed="rId13"/>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3-A862-4F87-9B5C-478F6EACAC36}"/>
              </c:ext>
            </c:extLst>
          </c:dPt>
          <c:dPt>
            <c:idx val="16"/>
            <c:invertIfNegative val="0"/>
            <c:bubble3D val="0"/>
            <c:spPr>
              <a:blipFill>
                <a:blip xmlns:r="http://schemas.openxmlformats.org/officeDocument/2006/relationships" r:embed="rId6"/>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4-A862-4F87-9B5C-478F6EACAC36}"/>
              </c:ext>
            </c:extLst>
          </c:dPt>
          <c:dPt>
            <c:idx val="17"/>
            <c:invertIfNegative val="0"/>
            <c:bubble3D val="0"/>
            <c:spPr>
              <a:blipFill>
                <a:blip xmlns:r="http://schemas.openxmlformats.org/officeDocument/2006/relationships" r:embed="rId10"/>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5-A862-4F87-9B5C-478F6EACAC36}"/>
              </c:ext>
            </c:extLst>
          </c:dPt>
          <c:dPt>
            <c:idx val="18"/>
            <c:invertIfNegative val="0"/>
            <c:bubble3D val="0"/>
            <c:spPr>
              <a:blipFill>
                <a:blip xmlns:r="http://schemas.openxmlformats.org/officeDocument/2006/relationships" r:embed="rId3"/>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6-A862-4F87-9B5C-478F6EACAC36}"/>
              </c:ext>
            </c:extLst>
          </c:dPt>
          <c:dPt>
            <c:idx val="19"/>
            <c:invertIfNegative val="0"/>
            <c:bubble3D val="0"/>
            <c:spPr>
              <a:blipFill>
                <a:blip xmlns:r="http://schemas.openxmlformats.org/officeDocument/2006/relationships" r:embed="rId14"/>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7-A862-4F87-9B5C-478F6EACAC36}"/>
              </c:ext>
            </c:extLst>
          </c:dPt>
          <c:dPt>
            <c:idx val="20"/>
            <c:invertIfNegative val="0"/>
            <c:bubble3D val="0"/>
            <c:spPr>
              <a:blipFill>
                <a:blip xmlns:r="http://schemas.openxmlformats.org/officeDocument/2006/relationships" r:embed="rId5"/>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8-A862-4F87-9B5C-478F6EACAC36}"/>
              </c:ext>
            </c:extLst>
          </c:dPt>
          <c:dPt>
            <c:idx val="21"/>
            <c:invertIfNegative val="0"/>
            <c:bubble3D val="0"/>
            <c:spPr>
              <a:blipFill>
                <a:blip xmlns:r="http://schemas.openxmlformats.org/officeDocument/2006/relationships" r:embed="rId15"/>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9-A862-4F87-9B5C-478F6EACAC36}"/>
              </c:ext>
            </c:extLst>
          </c:dPt>
          <c:dPt>
            <c:idx val="22"/>
            <c:invertIfNegative val="0"/>
            <c:bubble3D val="0"/>
            <c:spPr>
              <a:blipFill>
                <a:blip xmlns:r="http://schemas.openxmlformats.org/officeDocument/2006/relationships" r:embed="rId16"/>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A-A862-4F87-9B5C-478F6EACAC36}"/>
              </c:ext>
            </c:extLst>
          </c:dPt>
          <c:dPt>
            <c:idx val="23"/>
            <c:invertIfNegative val="0"/>
            <c:bubble3D val="0"/>
            <c:spPr>
              <a:blipFill>
                <a:blip xmlns:r="http://schemas.openxmlformats.org/officeDocument/2006/relationships" r:embed="rId17"/>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B-A862-4F87-9B5C-478F6EACAC36}"/>
              </c:ext>
            </c:extLst>
          </c:dPt>
          <c:dPt>
            <c:idx val="24"/>
            <c:invertIfNegative val="0"/>
            <c:bubble3D val="0"/>
            <c:spPr>
              <a:blipFill>
                <a:blip xmlns:r="http://schemas.openxmlformats.org/officeDocument/2006/relationships" r:embed="rId18"/>
                <a:stretch>
                  <a:fillRect/>
                </a:stretch>
              </a:blipFill>
              <a:ln w="38100" cap="flat" cmpd="sng" algn="ctr">
                <a:solidFill>
                  <a:srgbClr val="003399"/>
                </a:solidFill>
                <a:miter lim="800000"/>
              </a:ln>
              <a:effectLst/>
            </c:spPr>
            <c:pictureOptions>
              <c:pictureFormat val="stack"/>
            </c:pictureOptions>
            <c:extLst>
              <c:ext xmlns:c16="http://schemas.microsoft.com/office/drawing/2014/chart" uri="{C3380CC4-5D6E-409C-BE32-E72D297353CC}">
                <c16:uniqueId val="{0000001C-A862-4F87-9B5C-478F6EACAC36}"/>
              </c:ext>
            </c:extLst>
          </c:dPt>
          <c:cat>
            <c:strRef>
              <c:f>Herramienta!$B$39:$B$63</c:f>
              <c:strCache>
                <c:ptCount val="4"/>
                <c:pt idx="0">
                  <c:v>Uso de especies resilientes a la sequía y/o nativas del mediterráneo</c:v>
                </c:pt>
                <c:pt idx="1">
                  <c:v>Aumento de la capacidad de retención del suelo</c:v>
                </c:pt>
                <c:pt idx="2">
                  <c:v>canales de captación temporal</c:v>
                </c:pt>
                <c:pt idx="3">
                  <c:v>Campos de hierba y prados de flores</c:v>
                </c:pt>
              </c:strCache>
            </c:strRef>
          </c:cat>
          <c:val>
            <c:numRef>
              <c:f>Herramienta!$C$39:$C$63</c:f>
              <c:numCache>
                <c:formatCode>0%</c:formatCode>
                <c:ptCount val="4"/>
                <c:pt idx="0">
                  <c:v>0.90909090909090906</c:v>
                </c:pt>
                <c:pt idx="1">
                  <c:v>1</c:v>
                </c:pt>
                <c:pt idx="2">
                  <c:v>0.63636363636363635</c:v>
                </c:pt>
                <c:pt idx="3">
                  <c:v>0.90909090909090906</c:v>
                </c:pt>
              </c:numCache>
            </c:numRef>
          </c:val>
          <c:extLst>
            <c:ext xmlns:c16="http://schemas.microsoft.com/office/drawing/2014/chart" uri="{C3380CC4-5D6E-409C-BE32-E72D297353CC}">
              <c16:uniqueId val="{00000000-EFC3-4AB9-A390-F6C9FC789634}"/>
            </c:ext>
          </c:extLst>
        </c:ser>
        <c:dLbls>
          <c:showLegendKey val="0"/>
          <c:showVal val="0"/>
          <c:showCatName val="0"/>
          <c:showSerName val="0"/>
          <c:showPercent val="0"/>
          <c:showBubbleSize val="0"/>
        </c:dLbls>
        <c:gapWidth val="80"/>
        <c:overlap val="-35"/>
        <c:axId val="273921312"/>
        <c:axId val="273917472"/>
      </c:barChart>
      <c:catAx>
        <c:axId val="2739213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273917472"/>
        <c:crosses val="autoZero"/>
        <c:auto val="1"/>
        <c:lblAlgn val="ctr"/>
        <c:lblOffset val="100"/>
        <c:noMultiLvlLbl val="0"/>
      </c:catAx>
      <c:valAx>
        <c:axId val="273917472"/>
        <c:scaling>
          <c:orientation val="minMax"/>
        </c:scaling>
        <c:delete val="1"/>
        <c:axPos val="l"/>
        <c:numFmt formatCode="0%" sourceLinked="1"/>
        <c:majorTickMark val="none"/>
        <c:minorTickMark val="none"/>
        <c:tickLblPos val="nextTo"/>
        <c:crossAx val="273921312"/>
        <c:crosses val="autoZero"/>
        <c:crossBetween val="between"/>
      </c:valAx>
      <c:spPr>
        <a:noFill/>
        <a:ln>
          <a:noFill/>
        </a:ln>
        <a:effectLst/>
      </c:spPr>
    </c:plotArea>
    <c:plotVisOnly val="1"/>
    <c:dispBlanksAs val="gap"/>
    <c:showDLblsOverMax val="0"/>
  </c:chart>
  <c:spPr>
    <a:solidFill>
      <a:srgbClr val="F8F8F8"/>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sunburst" uniqueId="{E2115830-6E4C-45F7-BE34-167ED7E67F38}" formatIdx="0">
          <cx:tx>
            <cx:txData>
              <cx:f>_xlchart.v1.4</cx:f>
              <cx:v>PONDERACIÓN</cx:v>
            </cx:txData>
          </cx:tx>
          <cx:dataLabels pos="ctr">
            <cx:txPr>
              <a:bodyPr vertOverflow="overflow" horzOverflow="overflow" wrap="square" lIns="0" tIns="0" rIns="0" bIns="0"/>
              <a:lstStyle/>
              <a:p>
                <a:pPr algn="ctr" rtl="0">
                  <a:defRPr sz="1000" b="1" i="0">
                    <a:solidFill>
                      <a:srgbClr val="FFFFFF"/>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000" b="1">
                  <a:latin typeface="Times New Roman" panose="02020603050405020304" pitchFamily="18" charset="0"/>
                  <a:cs typeface="Times New Roman" panose="02020603050405020304" pitchFamily="18" charset="0"/>
                </a:endParaRPr>
              </a:p>
            </cx:txPr>
            <cx:visibility seriesName="0" categoryName="1" value="1"/>
            <cx:separator>, </cx:separator>
            <cx:dataLabel idx="19">
              <cx:txPr>
                <a:bodyPr vertOverflow="overflow" horzOverflow="overflow" wrap="square" lIns="0" tIns="0" rIns="0" bIns="0"/>
                <a:lstStyle/>
                <a:p>
                  <a:pPr algn="ctr" rtl="0">
                    <a:defRPr>
                      <a:solidFill>
                        <a:schemeClr val="bg1"/>
                      </a:solidFill>
                    </a:defRPr>
                  </a:pPr>
                  <a:r>
                    <a:rPr lang="en-US" sz="1000" b="1">
                      <a:solidFill>
                        <a:schemeClr val="bg1"/>
                      </a:solidFill>
                      <a:latin typeface="Times New Roman" panose="02020603050405020304" pitchFamily="18" charset="0"/>
                      <a:cs typeface="Times New Roman" panose="02020603050405020304" pitchFamily="18" charset="0"/>
                    </a:rPr>
                    <a:t>San Narcís</a:t>
                  </a:r>
                </a:p>
              </cx:txPr>
              <cx:visibility seriesName="0" categoryName="1" value="1"/>
              <cx:separator>, </cx:separator>
            </cx:dataLabel>
            <cx:dataLabel idx="20">
              <cx:txPr>
                <a:bodyPr vertOverflow="overflow" horzOverflow="overflow" wrap="square" lIns="0" tIns="0" rIns="0" bIns="0"/>
                <a:lstStyle/>
                <a:p>
                  <a:pPr algn="ctr" rtl="0">
                    <a:defRPr>
                      <a:solidFill>
                        <a:schemeClr val="bg1"/>
                      </a:solidFill>
                    </a:defRPr>
                  </a:pPr>
                  <a:r>
                    <a:rPr lang="en-US" sz="1000" b="1">
                      <a:solidFill>
                        <a:schemeClr val="bg1"/>
                      </a:solidFill>
                      <a:latin typeface="Times New Roman" panose="02020603050405020304" pitchFamily="18" charset="0"/>
                      <a:cs typeface="Times New Roman" panose="02020603050405020304" pitchFamily="18" charset="0"/>
                    </a:rPr>
                    <a:t>Plaza Assumpció y Huertos, 30</a:t>
                  </a:r>
                </a:p>
              </cx:txPr>
              <cx:visibility seriesName="0" categoryName="1" value="1"/>
              <cx:separator>, </cx:separator>
            </cx:dataLabel>
            <cx:dataLabel idx="21">
              <cx:txPr>
                <a:bodyPr vertOverflow="overflow" horzOverflow="overflow" wrap="square" lIns="0" tIns="0" rIns="0" bIns="0"/>
                <a:lstStyle/>
                <a:p>
                  <a:pPr algn="ctr" rtl="0">
                    <a:defRPr>
                      <a:solidFill>
                        <a:schemeClr val="bg1"/>
                      </a:solidFill>
                    </a:defRPr>
                  </a:pPr>
                  <a:r>
                    <a:rPr lang="en-US" sz="1000" b="1">
                      <a:solidFill>
                        <a:schemeClr val="bg1"/>
                      </a:solidFill>
                      <a:latin typeface="Times New Roman" panose="02020603050405020304" pitchFamily="18" charset="0"/>
                      <a:cs typeface="Times New Roman" panose="02020603050405020304" pitchFamily="18" charset="0"/>
                    </a:rPr>
                    <a:t>Jardines Ignasi Bosch i Reig, 16</a:t>
                  </a:r>
                </a:p>
              </cx:txPr>
              <cx:visibility seriesName="0" categoryName="1" value="1"/>
              <cx:separator>, </cx:separator>
            </cx:dataLabel>
            <cx:dataLabel idx="22">
              <cx:txPr>
                <a:bodyPr vertOverflow="overflow" horzOverflow="overflow" wrap="square" lIns="0" tIns="0" rIns="0" bIns="0"/>
                <a:lstStyle/>
                <a:p>
                  <a:pPr algn="ctr" rtl="0">
                    <a:defRPr>
                      <a:solidFill>
                        <a:schemeClr val="bg1"/>
                      </a:solidFill>
                    </a:defRPr>
                  </a:pPr>
                  <a:r>
                    <a:rPr lang="en-US" sz="1000" b="1">
                      <a:solidFill>
                        <a:schemeClr val="bg1"/>
                      </a:solidFill>
                      <a:latin typeface="Times New Roman" panose="02020603050405020304" pitchFamily="18" charset="0"/>
                      <a:cs typeface="Times New Roman" panose="02020603050405020304" pitchFamily="18" charset="0"/>
                    </a:rPr>
                    <a:t>Camp del Bèlit, 12</a:t>
                  </a:r>
                </a:p>
              </cx:txPr>
              <cx:visibility seriesName="0" categoryName="1" value="1"/>
              <cx:separator>, </cx:separator>
            </cx:dataLabel>
          </cx:dataLabels>
          <cx:dataId val="0"/>
        </cx:series>
      </cx:plotAreaRegion>
    </cx:plotArea>
    <cx:legend pos="b" align="ctr" overlay="0">
      <cx:txPr>
        <a:bodyPr spcFirstLastPara="1" vertOverflow="ellipsis" horzOverflow="overflow" wrap="square" lIns="0" tIns="0" rIns="0" bIns="0" anchor="ctr" anchorCtr="1"/>
        <a:lstStyle/>
        <a:p>
          <a:pPr algn="ctr" rtl="0">
            <a:defRPr sz="1200">
              <a:latin typeface="Times New Roman" panose="02020603050405020304" pitchFamily="18" charset="0"/>
              <a:ea typeface="Times New Roman" panose="02020603050405020304" pitchFamily="18" charset="0"/>
              <a:cs typeface="Times New Roman" panose="02020603050405020304" pitchFamily="18" charset="0"/>
            </a:defRPr>
          </a:pPr>
          <a:endParaRPr lang="es-ES" sz="1200" b="0" i="0" u="none" strike="noStrike" baseline="0">
            <a:solidFill>
              <a:srgbClr val="000000">
                <a:lumMod val="65000"/>
                <a:lumOff val="35000"/>
              </a:srgbClr>
            </a:solidFill>
            <a:latin typeface="Times New Roman" panose="02020603050405020304" pitchFamily="18" charset="0"/>
            <a:cs typeface="Times New Roman" panose="02020603050405020304" pitchFamily="18" charset="0"/>
          </a:endParaRPr>
        </a:p>
      </cx:txPr>
    </cx:legend>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28</xdr:row>
          <xdr:rowOff>38100</xdr:rowOff>
        </xdr:from>
        <xdr:to>
          <xdr:col>3</xdr:col>
          <xdr:colOff>0</xdr:colOff>
          <xdr:row>35</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1" i="0" u="none" strike="noStrike" baseline="0">
                  <a:solidFill>
                    <a:srgbClr val="000000"/>
                  </a:solidFill>
                  <a:latin typeface="Times New Roman"/>
                  <a:cs typeface="Times New Roman"/>
                </a:rPr>
                <a:t>DONE</a:t>
              </a:r>
            </a:p>
          </xdr:txBody>
        </xdr:sp>
        <xdr:clientData fPrintsWithSheet="0"/>
      </xdr:twoCellAnchor>
    </mc:Choice>
    <mc:Fallback/>
  </mc:AlternateContent>
  <xdr:twoCellAnchor>
    <xdr:from>
      <xdr:col>3</xdr:col>
      <xdr:colOff>199569</xdr:colOff>
      <xdr:row>11</xdr:row>
      <xdr:rowOff>76200</xdr:rowOff>
    </xdr:from>
    <xdr:to>
      <xdr:col>6</xdr:col>
      <xdr:colOff>4127500</xdr:colOff>
      <xdr:row>28</xdr:row>
      <xdr:rowOff>0</xdr:rowOff>
    </xdr:to>
    <xdr:graphicFrame macro="">
      <xdr:nvGraphicFramePr>
        <xdr:cNvPr id="4" name="Gráfico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149678</xdr:colOff>
      <xdr:row>1</xdr:row>
      <xdr:rowOff>13607</xdr:rowOff>
    </xdr:from>
    <xdr:to>
      <xdr:col>6</xdr:col>
      <xdr:colOff>4183528</xdr:colOff>
      <xdr:row>5</xdr:row>
      <xdr:rowOff>254219</xdr:rowOff>
    </xdr:to>
    <xdr:sp macro="" textlink="">
      <xdr:nvSpPr>
        <xdr:cNvPr id="5" name="Rectángulo: esquinas redondeadas 4">
          <a:extLst>
            <a:ext uri="{FF2B5EF4-FFF2-40B4-BE49-F238E27FC236}">
              <a16:creationId xmlns:a16="http://schemas.microsoft.com/office/drawing/2014/main" id="{00000000-0008-0000-0000-000005000000}"/>
            </a:ext>
          </a:extLst>
        </xdr:cNvPr>
        <xdr:cNvSpPr/>
      </xdr:nvSpPr>
      <xdr:spPr>
        <a:xfrm>
          <a:off x="8245928" y="508907"/>
          <a:ext cx="13768400" cy="1612212"/>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Times New Roman" panose="02020603050405020304" pitchFamily="18" charset="0"/>
              <a:cs typeface="Times New Roman" panose="02020603050405020304" pitchFamily="18" charset="0"/>
            </a:rPr>
            <a:t>HERRAMIENTA</a:t>
          </a:r>
          <a:r>
            <a:rPr lang="en-US" sz="2000" b="1" baseline="0">
              <a:latin typeface="Times New Roman" panose="02020603050405020304" pitchFamily="18" charset="0"/>
              <a:cs typeface="Times New Roman" panose="02020603050405020304" pitchFamily="18" charset="0"/>
            </a:rPr>
            <a:t> DE APOYO A LA TOMA DE DECISIÓN PARA LA SELECCIÓN DE ALTERNATIVAS DE RIEGO PARA ÁREAS VERDES URBANAS QUE AMUENTEN LA RESILIENCIA ANTE SEQUÍA </a:t>
          </a:r>
          <a:endParaRPr lang="en-US" sz="2000" b="1">
            <a:latin typeface="Times New Roman" panose="02020603050405020304" pitchFamily="18" charset="0"/>
            <a:cs typeface="Times New Roman" panose="02020603050405020304" pitchFamily="18" charset="0"/>
          </a:endParaRPr>
        </a:p>
      </xdr:txBody>
    </xdr:sp>
    <xdr:clientData/>
  </xdr:twoCellAnchor>
  <xdr:twoCellAnchor>
    <xdr:from>
      <xdr:col>3</xdr:col>
      <xdr:colOff>216119</xdr:colOff>
      <xdr:row>5</xdr:row>
      <xdr:rowOff>317283</xdr:rowOff>
    </xdr:from>
    <xdr:to>
      <xdr:col>6</xdr:col>
      <xdr:colOff>4146550</xdr:colOff>
      <xdr:row>10</xdr:row>
      <xdr:rowOff>285751</xdr:rowOff>
    </xdr:to>
    <xdr:sp macro="" textlink="">
      <xdr:nvSpPr>
        <xdr:cNvPr id="2" name="CuadroTexto 2">
          <a:extLst>
            <a:ext uri="{FF2B5EF4-FFF2-40B4-BE49-F238E27FC236}">
              <a16:creationId xmlns:a16="http://schemas.microsoft.com/office/drawing/2014/main" id="{00000000-0008-0000-0000-000002000000}"/>
            </a:ext>
          </a:extLst>
        </xdr:cNvPr>
        <xdr:cNvSpPr txBox="1"/>
      </xdr:nvSpPr>
      <xdr:spPr>
        <a:xfrm>
          <a:off x="8312369" y="2184183"/>
          <a:ext cx="13664981" cy="1625818"/>
        </a:xfrm>
        <a:prstGeom prst="rect">
          <a:avLst/>
        </a:prstGeom>
        <a:noFill/>
        <a:ln w="19050">
          <a:solidFill>
            <a:srgbClr val="002060"/>
          </a:solidFill>
        </a:ln>
      </xdr:spPr>
      <xdr:txBody>
        <a:bodyPr wrap="square">
          <a:noAutofit/>
        </a:bodyPr>
        <a:lstStyle>
          <a:defPPr rtl="0">
            <a:defRPr lang="es-ES"/>
          </a:defPPr>
          <a:lvl1pPr marL="0" algn="l" defTabSz="914400" rtl="0" eaLnBrk="1" latinLnBrk="0" hangingPunct="1">
            <a:defRPr lang="es-ES" sz="1800" kern="1200">
              <a:solidFill>
                <a:schemeClr val="tx1"/>
              </a:solidFill>
              <a:latin typeface="+mn-lt"/>
              <a:ea typeface="+mn-ea"/>
              <a:cs typeface="+mn-cs"/>
            </a:defRPr>
          </a:lvl1pPr>
          <a:lvl2pPr marL="457200" algn="l" defTabSz="914400" rtl="0" eaLnBrk="1" latinLnBrk="0" hangingPunct="1">
            <a:defRPr lang="es-ES" sz="1800" kern="1200">
              <a:solidFill>
                <a:schemeClr val="tx1"/>
              </a:solidFill>
              <a:latin typeface="+mn-lt"/>
              <a:ea typeface="+mn-ea"/>
              <a:cs typeface="+mn-cs"/>
            </a:defRPr>
          </a:lvl2pPr>
          <a:lvl3pPr marL="914400" algn="l" defTabSz="914400" rtl="0" eaLnBrk="1" latinLnBrk="0" hangingPunct="1">
            <a:defRPr lang="es-ES" sz="1800" kern="1200">
              <a:solidFill>
                <a:schemeClr val="tx1"/>
              </a:solidFill>
              <a:latin typeface="+mn-lt"/>
              <a:ea typeface="+mn-ea"/>
              <a:cs typeface="+mn-cs"/>
            </a:defRPr>
          </a:lvl3pPr>
          <a:lvl4pPr marL="1371600" algn="l" defTabSz="914400" rtl="0" eaLnBrk="1" latinLnBrk="0" hangingPunct="1">
            <a:defRPr lang="es-ES" sz="1800" kern="1200">
              <a:solidFill>
                <a:schemeClr val="tx1"/>
              </a:solidFill>
              <a:latin typeface="+mn-lt"/>
              <a:ea typeface="+mn-ea"/>
              <a:cs typeface="+mn-cs"/>
            </a:defRPr>
          </a:lvl4pPr>
          <a:lvl5pPr marL="1828800" algn="l" defTabSz="914400" rtl="0" eaLnBrk="1" latinLnBrk="0" hangingPunct="1">
            <a:defRPr lang="es-ES" sz="1800" kern="1200">
              <a:solidFill>
                <a:schemeClr val="tx1"/>
              </a:solidFill>
              <a:latin typeface="+mn-lt"/>
              <a:ea typeface="+mn-ea"/>
              <a:cs typeface="+mn-cs"/>
            </a:defRPr>
          </a:lvl5pPr>
          <a:lvl6pPr marL="2286000" algn="l" defTabSz="914400" rtl="0" eaLnBrk="1" latinLnBrk="0" hangingPunct="1">
            <a:defRPr lang="es-ES" sz="1800" kern="1200">
              <a:solidFill>
                <a:schemeClr val="tx1"/>
              </a:solidFill>
              <a:latin typeface="+mn-lt"/>
              <a:ea typeface="+mn-ea"/>
              <a:cs typeface="+mn-cs"/>
            </a:defRPr>
          </a:lvl6pPr>
          <a:lvl7pPr marL="2743200" algn="l" defTabSz="914400" rtl="0" eaLnBrk="1" latinLnBrk="0" hangingPunct="1">
            <a:defRPr lang="es-ES" sz="1800" kern="1200">
              <a:solidFill>
                <a:schemeClr val="tx1"/>
              </a:solidFill>
              <a:latin typeface="+mn-lt"/>
              <a:ea typeface="+mn-ea"/>
              <a:cs typeface="+mn-cs"/>
            </a:defRPr>
          </a:lvl7pPr>
          <a:lvl8pPr marL="3200400" algn="l" defTabSz="914400" rtl="0" eaLnBrk="1" latinLnBrk="0" hangingPunct="1">
            <a:defRPr lang="es-ES" sz="1800" kern="1200">
              <a:solidFill>
                <a:schemeClr val="tx1"/>
              </a:solidFill>
              <a:latin typeface="+mn-lt"/>
              <a:ea typeface="+mn-ea"/>
              <a:cs typeface="+mn-cs"/>
            </a:defRPr>
          </a:lvl8pPr>
          <a:lvl9pPr marL="3657600" algn="l" defTabSz="914400" rtl="0" eaLnBrk="1" latinLnBrk="0" hangingPunct="1">
            <a:defRPr lang="es-ES" sz="1800" kern="1200">
              <a:solidFill>
                <a:schemeClr val="tx1"/>
              </a:solidFill>
              <a:latin typeface="+mn-lt"/>
              <a:ea typeface="+mn-ea"/>
              <a:cs typeface="+mn-cs"/>
            </a:defRPr>
          </a:lvl9pPr>
        </a:lstStyle>
        <a:p>
          <a:pPr algn="just"/>
          <a:r>
            <a:rPr lang="es-MX" sz="2000">
              <a:latin typeface="Times New Roman" panose="02020603050405020304" pitchFamily="18" charset="0"/>
              <a:cs typeface="Times New Roman" panose="02020603050405020304" pitchFamily="18" charset="0"/>
            </a:rPr>
            <a:t>Esta herramienta de apoyo a la toma de decisión brinda a los diseñadores urbanos, ingenieros y tomadores de decisión de Girona, información sobre medidas factibles con el objetivo específico de aplicar SbN para disminuir las necesidades de riego de zonas verdes urbanas con agua potable. Se generará una selección de medidas viables de adaptación climática en menos de un minuto. </a:t>
          </a:r>
          <a:r>
            <a:rPr lang="es-MX" sz="2000" kern="1200">
              <a:solidFill>
                <a:schemeClr val="tx1"/>
              </a:solidFill>
              <a:effectLst/>
              <a:latin typeface="Times New Roman" panose="02020603050405020304" pitchFamily="18" charset="0"/>
              <a:ea typeface="+mn-ea"/>
              <a:cs typeface="Times New Roman" panose="02020603050405020304" pitchFamily="18" charset="0"/>
            </a:rPr>
            <a:t>La herramienta no pretende producir una estrategia hecha a medida, sino más bien resaltar cuestiones clave que deben considerarse cuando se desarrollan estrategias de adaptación incluyendo SbN. </a:t>
          </a:r>
          <a:endParaRPr lang="en-US" sz="20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36</xdr:col>
      <xdr:colOff>318760</xdr:colOff>
      <xdr:row>3</xdr:row>
      <xdr:rowOff>70677</xdr:rowOff>
    </xdr:from>
    <xdr:to>
      <xdr:col>50</xdr:col>
      <xdr:colOff>556846</xdr:colOff>
      <xdr:row>21</xdr:row>
      <xdr:rowOff>131884</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6689606" y="1389523"/>
              <a:ext cx="10906086" cy="6303746"/>
            </a:xfrm>
            <a:prstGeom prst="rect">
              <a:avLst/>
            </a:prstGeom>
            <a:solidFill>
              <a:prstClr val="white"/>
            </a:solidFill>
            <a:ln w="1">
              <a:solidFill>
                <a:prstClr val="green"/>
              </a:solidFill>
            </a:ln>
          </xdr:spPr>
          <xdr:txBody>
            <a:bodyPr vertOverflow="clip" horzOverflow="clip"/>
            <a:lstStyle/>
            <a:p>
              <a:r>
                <a:rPr lang="en-U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ca.gencat.cat/ca/laigua/infraestructures/estacions-de-regeneracio-daigua/" TargetMode="External"/><Relationship Id="rId13" Type="http://schemas.openxmlformats.org/officeDocument/2006/relationships/hyperlink" Target="https://urbangreenbluegrids.com/projects/tanner-springs-park-portland-oregon-us/" TargetMode="External"/><Relationship Id="rId18" Type="http://schemas.openxmlformats.org/officeDocument/2006/relationships/hyperlink" Target="https://onuhabitat.org.mx/index.php/la-ciudad-esponja" TargetMode="External"/><Relationship Id="rId26" Type="http://schemas.openxmlformats.org/officeDocument/2006/relationships/vmlDrawing" Target="../drawings/vmlDrawing1.vml"/><Relationship Id="rId3" Type="http://schemas.openxmlformats.org/officeDocument/2006/relationships/hyperlink" Target="https://urbangreenbluegrids.com/measures/bioswales/" TargetMode="External"/><Relationship Id="rId21" Type="http://schemas.openxmlformats.org/officeDocument/2006/relationships/hyperlink" Target="https://www.sciencedirect.com/science/article/pii/S1618866721000789" TargetMode="External"/><Relationship Id="rId7" Type="http://schemas.openxmlformats.org/officeDocument/2006/relationships/hyperlink" Target="https://urbangreenbluegrids.com/projects/potsdamer-platz-berlin-germany/" TargetMode="External"/><Relationship Id="rId12" Type="http://schemas.openxmlformats.org/officeDocument/2006/relationships/hyperlink" Target="https://urbangreenbluegrids.com/measures/adopting-areas-under-trees-and-small-plots-of-green/" TargetMode="External"/><Relationship Id="rId17" Type="http://schemas.openxmlformats.org/officeDocument/2006/relationships/hyperlink" Target="https://ru.dgb.unam.mx/bitstream/20.500.14330/TES01000812125/3/0812125.pdf" TargetMode="External"/><Relationship Id="rId25" Type="http://schemas.openxmlformats.org/officeDocument/2006/relationships/drawing" Target="../drawings/drawing1.xml"/><Relationship Id="rId2" Type="http://schemas.openxmlformats.org/officeDocument/2006/relationships/hyperlink" Target="https://www.tandfonline.com/doi/abs/10.1080/1573062X.2014.991742" TargetMode="External"/><Relationship Id="rId16" Type="http://schemas.openxmlformats.org/officeDocument/2006/relationships/hyperlink" Target="https://www.duurzamesportsector.nl/artikel/sporten-in-alle-weersomstandigheden-het-kan-op-het-klimaatbestendige-sportpark/" TargetMode="External"/><Relationship Id="rId20" Type="http://schemas.openxmlformats.org/officeDocument/2006/relationships/hyperlink" Target="https://resilio.amsterdam/slimme-blauw-groene-daken/" TargetMode="External"/><Relationship Id="rId1" Type="http://schemas.openxmlformats.org/officeDocument/2006/relationships/hyperlink" Target="https://www.csbe.org/greywater-reuse-in-jordan" TargetMode="External"/><Relationship Id="rId6" Type="http://schemas.openxmlformats.org/officeDocument/2006/relationships/hyperlink" Target="https://urbangreenbluegrids.com/projects/rijkswaterstaat-office-in-terneuzen-the-netherlands/" TargetMode="External"/><Relationship Id="rId11" Type="http://schemas.openxmlformats.org/officeDocument/2006/relationships/hyperlink" Target="https://urbangreenbluegrids.com/projects/singapore-en/" TargetMode="External"/><Relationship Id="rId24" Type="http://schemas.openxmlformats.org/officeDocument/2006/relationships/printerSettings" Target="../printerSettings/printerSettings1.bin"/><Relationship Id="rId5" Type="http://schemas.openxmlformats.org/officeDocument/2006/relationships/hyperlink" Target="https://urbangreenbluegrids.com/projects/singapore-en/" TargetMode="External"/><Relationship Id="rId15" Type="http://schemas.openxmlformats.org/officeDocument/2006/relationships/hyperlink" Target="https://urbangreenbluegrids.com/projects/professor-schoemaker-plantation/" TargetMode="External"/><Relationship Id="rId23" Type="http://schemas.openxmlformats.org/officeDocument/2006/relationships/hyperlink" Target="https://www.sciencedirect.com/science/article/pii/S0169204610002185" TargetMode="External"/><Relationship Id="rId10" Type="http://schemas.openxmlformats.org/officeDocument/2006/relationships/hyperlink" Target="https://www.scopus.com/record/display.uri?eid=2-s2.0-85139786694&amp;origin=resultslist&amp;sort=plf-f&amp;src=s&amp;sid=a59032508c73554e9076fc91f9467ca5&amp;sot=b&amp;sdt=b&amp;s=TITLE-ABS-KEY%28nature-based+AND+solutions+AND+drought+AND+urban%29&amp;sl=62&amp;sessionSearchId=a59032508c73554e9076fc91f9467ca5&amp;relpos=20" TargetMode="External"/><Relationship Id="rId19" Type="http://schemas.openxmlformats.org/officeDocument/2006/relationships/hyperlink" Target="https://urbangreenbluegrids.com/measures/urban-infiltration-strips/" TargetMode="External"/><Relationship Id="rId4" Type="http://schemas.openxmlformats.org/officeDocument/2006/relationships/hyperlink" Target="https://doi.org/10.5194/nhess-20-243-2020,%202020." TargetMode="External"/><Relationship Id="rId9" Type="http://schemas.openxmlformats.org/officeDocument/2006/relationships/hyperlink" Target="https://www.sciencedirect.com/science/article/abs/pii/S0925857422000374?via%3Dihub" TargetMode="External"/><Relationship Id="rId14" Type="http://schemas.openxmlformats.org/officeDocument/2006/relationships/hyperlink" Target="https://www.iridra.eu/it/nature-based-solutions/drenaggio-urbano-sostenibile" TargetMode="External"/><Relationship Id="rId22" Type="http://schemas.openxmlformats.org/officeDocument/2006/relationships/hyperlink" Target="https://asset.source.thenbs.com/api/pdf/8713de34-b85c-4ab4-884f-0ed4959a0e80" TargetMode="External"/><Relationship Id="rId27"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aca.gencat.cat/ca/laigua/infraestructures/estacions-de-regeneracio-daigua/" TargetMode="External"/><Relationship Id="rId13" Type="http://schemas.openxmlformats.org/officeDocument/2006/relationships/hyperlink" Target="https://urbangreenbluegrids.com/projects/tanner-springs-park-portland-oregon-us/" TargetMode="External"/><Relationship Id="rId18" Type="http://schemas.openxmlformats.org/officeDocument/2006/relationships/hyperlink" Target="https://onuhabitat.org.mx/index.php/la-ciudad-esponja" TargetMode="External"/><Relationship Id="rId26" Type="http://schemas.openxmlformats.org/officeDocument/2006/relationships/comments" Target="../comments1.xml"/><Relationship Id="rId3" Type="http://schemas.openxmlformats.org/officeDocument/2006/relationships/hyperlink" Target="https://urbangreenbluegrids.com/measures/bioswales/" TargetMode="External"/><Relationship Id="rId21" Type="http://schemas.openxmlformats.org/officeDocument/2006/relationships/hyperlink" Target="https://www.sciencedirect.com/science/article/pii/S1618866721000789" TargetMode="External"/><Relationship Id="rId7" Type="http://schemas.openxmlformats.org/officeDocument/2006/relationships/hyperlink" Target="https://urbangreenbluegrids.com/projects/potsdamer-platz-berlin-germany/" TargetMode="External"/><Relationship Id="rId12" Type="http://schemas.openxmlformats.org/officeDocument/2006/relationships/hyperlink" Target="https://urbangreenbluegrids.com/measures/adopting-areas-under-trees-and-small-plots-of-green/" TargetMode="External"/><Relationship Id="rId17" Type="http://schemas.openxmlformats.org/officeDocument/2006/relationships/hyperlink" Target="https://ru.dgb.unam.mx/bitstream/20.500.14330/TES01000812125/3/0812125.pdf" TargetMode="External"/><Relationship Id="rId25" Type="http://schemas.openxmlformats.org/officeDocument/2006/relationships/vmlDrawing" Target="../drawings/vmlDrawing2.vml"/><Relationship Id="rId2" Type="http://schemas.openxmlformats.org/officeDocument/2006/relationships/hyperlink" Target="https://repositorio.unican.es/xmlui/bitstream/handle/10902/7967/2015_Gonz%E1lezViar%20UWJ.pdf?sequence=1" TargetMode="External"/><Relationship Id="rId16" Type="http://schemas.openxmlformats.org/officeDocument/2006/relationships/hyperlink" Target="https://www.duurzamesportsector.nl/artikel/sporten-in-alle-weersomstandigheden-het-kan-op-het-klimaatbestendige-sportpark/" TargetMode="External"/><Relationship Id="rId20" Type="http://schemas.openxmlformats.org/officeDocument/2006/relationships/hyperlink" Target="https://resilio.amsterdam/slimme-blauw-groene-daken/" TargetMode="External"/><Relationship Id="rId1" Type="http://schemas.openxmlformats.org/officeDocument/2006/relationships/hyperlink" Target="https://www.csbe.org/greywater-reuse-in-jordan" TargetMode="External"/><Relationship Id="rId6" Type="http://schemas.openxmlformats.org/officeDocument/2006/relationships/hyperlink" Target="https://urbangreenbluegrids.com/projects/rijkswaterstaat-office-in-terneuzen-the-netherlands/" TargetMode="External"/><Relationship Id="rId11" Type="http://schemas.openxmlformats.org/officeDocument/2006/relationships/hyperlink" Target="https://urbangreenbluegrids.com/projects/singapore-en/" TargetMode="External"/><Relationship Id="rId24" Type="http://schemas.openxmlformats.org/officeDocument/2006/relationships/printerSettings" Target="../printerSettings/printerSettings2.bin"/><Relationship Id="rId5" Type="http://schemas.openxmlformats.org/officeDocument/2006/relationships/hyperlink" Target="https://urbangreenbluegrids.com/projects/singapore-en/" TargetMode="External"/><Relationship Id="rId15" Type="http://schemas.openxmlformats.org/officeDocument/2006/relationships/hyperlink" Target="https://urbangreenbluegrids.com/projects/professor-schoemaker-plantation/" TargetMode="External"/><Relationship Id="rId23" Type="http://schemas.openxmlformats.org/officeDocument/2006/relationships/hyperlink" Target="https://www.sciencedirect.com/science/article/pii/S0169204610002185" TargetMode="External"/><Relationship Id="rId10" Type="http://schemas.openxmlformats.org/officeDocument/2006/relationships/hyperlink" Target="https://www.scopus.com/record/display.uri?eid=2-s2.0-85139786694&amp;origin=resultslist&amp;sort=plf-f&amp;src=s&amp;sid=a59032508c73554e9076fc91f9467ca5&amp;sot=b&amp;sdt=b&amp;s=TITLE-ABS-KEY%28nature-based+AND+solutions+AND+drought+AND+urban%29&amp;sl=62&amp;sessionSearchId=a59032508c73554e9076fc91f9467ca5&amp;relpos=20" TargetMode="External"/><Relationship Id="rId19" Type="http://schemas.openxmlformats.org/officeDocument/2006/relationships/hyperlink" Target="https://urbangreenbluegrids.com/measures/urban-infiltration-strips/" TargetMode="External"/><Relationship Id="rId4" Type="http://schemas.openxmlformats.org/officeDocument/2006/relationships/hyperlink" Target="https://doi.org/10.5194/nhess-20-243-2020,%202020." TargetMode="External"/><Relationship Id="rId9" Type="http://schemas.openxmlformats.org/officeDocument/2006/relationships/hyperlink" Target="https://www.sciencedirect.com/science/article/abs/pii/S0925857422000374?via%3Dihub" TargetMode="External"/><Relationship Id="rId14" Type="http://schemas.openxmlformats.org/officeDocument/2006/relationships/hyperlink" Target="https://www.iridra.eu/it/nature-based-solutions/drenaggio-urbano-sostenibile" TargetMode="External"/><Relationship Id="rId22" Type="http://schemas.openxmlformats.org/officeDocument/2006/relationships/hyperlink" Target="https://asset.source.thenbs.com/api/pdf/8713de34-b85c-4ab4-884f-0ed4959a0e8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6974F-E5DA-4CDD-B27E-6BF90A8DDDCC}">
  <sheetPr codeName="Hoja1" filterMode="1">
    <tabColor rgb="FF003399"/>
  </sheetPr>
  <dimension ref="A1:AC1001"/>
  <sheetViews>
    <sheetView tabSelected="1" topLeftCell="B1" zoomScale="50" zoomScaleNormal="50" workbookViewId="0">
      <selection activeCell="B3" sqref="B3"/>
    </sheetView>
  </sheetViews>
  <sheetFormatPr baseColWidth="10" defaultColWidth="14.42578125" defaultRowHeight="15" customHeight="1" x14ac:dyDescent="0.4"/>
  <cols>
    <col min="1" max="1" width="8.5703125" style="89" customWidth="1"/>
    <col min="2" max="2" width="70.7109375" customWidth="1"/>
    <col min="3" max="3" width="41.85546875" customWidth="1"/>
    <col min="4" max="4" width="20.140625" style="113" customWidth="1"/>
    <col min="5" max="7" width="62.85546875" customWidth="1"/>
    <col min="8" max="9" width="30.7109375" customWidth="1"/>
    <col min="10" max="14" width="62.85546875" bestFit="1" customWidth="1"/>
    <col min="15" max="15" width="12.85546875" bestFit="1" customWidth="1"/>
    <col min="16" max="29" width="10.7109375" customWidth="1"/>
  </cols>
  <sheetData>
    <row r="1" spans="1:29" ht="38.25" customHeight="1" thickBot="1" x14ac:dyDescent="0.4">
      <c r="A1" s="28"/>
      <c r="B1" s="139"/>
      <c r="C1" s="139"/>
      <c r="D1" s="140"/>
      <c r="E1" s="1"/>
      <c r="F1" s="1"/>
      <c r="G1" s="1"/>
      <c r="H1" s="2"/>
      <c r="I1" s="2"/>
      <c r="J1" s="1"/>
      <c r="K1" s="1"/>
      <c r="L1" s="1"/>
      <c r="M1" s="1"/>
      <c r="N1" s="1"/>
      <c r="O1" s="1"/>
      <c r="P1" s="1"/>
      <c r="Q1" s="1"/>
      <c r="R1" s="1"/>
      <c r="S1" s="1"/>
      <c r="T1" s="1"/>
      <c r="U1" s="1"/>
      <c r="V1" s="1"/>
      <c r="W1" s="1"/>
      <c r="X1" s="1"/>
      <c r="Y1" s="1"/>
      <c r="Z1" s="1"/>
      <c r="AA1" s="1"/>
      <c r="AB1" s="1"/>
      <c r="AC1" s="1"/>
    </row>
    <row r="2" spans="1:29" ht="23.25" x14ac:dyDescent="0.35">
      <c r="A2" s="28"/>
      <c r="B2" s="141" t="s">
        <v>0</v>
      </c>
      <c r="C2" s="142"/>
      <c r="D2" s="140"/>
      <c r="E2" s="1"/>
      <c r="G2" s="1"/>
      <c r="H2" s="2"/>
      <c r="I2" s="2"/>
      <c r="J2" s="1"/>
      <c r="K2" s="1"/>
      <c r="L2" s="1"/>
      <c r="M2" s="1"/>
      <c r="N2" s="1"/>
      <c r="O2" s="1"/>
      <c r="P2" s="1"/>
      <c r="Q2" s="1"/>
      <c r="R2" s="1"/>
      <c r="S2" s="1"/>
      <c r="T2" s="1"/>
      <c r="U2" s="1"/>
      <c r="V2" s="1"/>
      <c r="W2" s="1"/>
      <c r="X2" s="1"/>
      <c r="Y2" s="1"/>
      <c r="Z2" s="1"/>
      <c r="AA2" s="1"/>
      <c r="AB2" s="1"/>
      <c r="AC2" s="1"/>
    </row>
    <row r="3" spans="1:29" ht="23.25" x14ac:dyDescent="0.35">
      <c r="A3" s="28" t="s">
        <v>5</v>
      </c>
      <c r="B3" s="143" t="s">
        <v>1</v>
      </c>
      <c r="C3" s="144" t="s">
        <v>5</v>
      </c>
      <c r="D3" s="140"/>
      <c r="E3" s="1"/>
      <c r="F3" s="1"/>
      <c r="G3" s="1"/>
      <c r="H3" s="2"/>
      <c r="I3" s="2"/>
      <c r="J3" s="1"/>
      <c r="K3" s="1"/>
      <c r="L3" s="1"/>
      <c r="M3" s="1"/>
      <c r="N3" s="1"/>
      <c r="O3" s="1"/>
      <c r="P3" s="1"/>
      <c r="Q3" s="1"/>
      <c r="R3" s="1"/>
      <c r="S3" s="1"/>
      <c r="T3" s="1"/>
      <c r="U3" s="1"/>
      <c r="V3" s="1"/>
      <c r="W3" s="1"/>
      <c r="X3" s="1"/>
      <c r="Y3" s="1"/>
      <c r="Z3" s="1"/>
      <c r="AA3" s="1"/>
      <c r="AB3" s="1"/>
      <c r="AC3" s="1"/>
    </row>
    <row r="4" spans="1:29" ht="23.25" x14ac:dyDescent="0.35">
      <c r="A4" s="28" t="s">
        <v>7</v>
      </c>
      <c r="B4" s="143" t="s">
        <v>2</v>
      </c>
      <c r="C4" s="144" t="s">
        <v>7</v>
      </c>
      <c r="D4" s="140"/>
      <c r="E4" s="1"/>
      <c r="F4" s="1"/>
      <c r="G4" s="1"/>
      <c r="H4" s="2"/>
      <c r="I4" s="2"/>
      <c r="J4" s="1"/>
      <c r="K4" s="1"/>
      <c r="L4" s="1"/>
      <c r="M4" s="1"/>
      <c r="N4" s="1"/>
      <c r="O4" s="1"/>
      <c r="P4" s="1"/>
      <c r="Q4" s="1"/>
      <c r="R4" s="1"/>
      <c r="S4" s="1"/>
      <c r="T4" s="1"/>
      <c r="U4" s="1"/>
      <c r="V4" s="1"/>
      <c r="W4" s="1"/>
      <c r="X4" s="1"/>
      <c r="Y4" s="1"/>
      <c r="Z4" s="1"/>
      <c r="AA4" s="1"/>
      <c r="AB4" s="1"/>
      <c r="AC4" s="1"/>
    </row>
    <row r="5" spans="1:29" ht="23.25" x14ac:dyDescent="0.35">
      <c r="A5" s="28"/>
      <c r="B5" s="143" t="s">
        <v>3</v>
      </c>
      <c r="C5" s="144" t="s">
        <v>5</v>
      </c>
      <c r="D5" s="140"/>
      <c r="E5" s="1"/>
      <c r="F5" s="1"/>
      <c r="G5" s="1"/>
      <c r="H5" s="2"/>
      <c r="I5" s="2"/>
      <c r="J5" s="1"/>
      <c r="K5" s="1"/>
      <c r="L5" s="1"/>
      <c r="M5" s="1"/>
      <c r="N5" s="1"/>
      <c r="O5" s="1"/>
      <c r="P5" s="1"/>
      <c r="Q5" s="1"/>
      <c r="R5" s="1"/>
      <c r="S5" s="1"/>
      <c r="T5" s="1"/>
      <c r="U5" s="1"/>
      <c r="V5" s="1"/>
      <c r="W5" s="1"/>
      <c r="X5" s="1"/>
      <c r="Y5" s="1"/>
      <c r="Z5" s="1"/>
      <c r="AA5" s="1"/>
      <c r="AB5" s="1"/>
      <c r="AC5" s="1"/>
    </row>
    <row r="6" spans="1:29" ht="24" thickBot="1" x14ac:dyDescent="0.4">
      <c r="A6" s="28"/>
      <c r="B6" s="145" t="s">
        <v>230</v>
      </c>
      <c r="C6" s="144" t="s">
        <v>7</v>
      </c>
      <c r="D6" s="140"/>
      <c r="E6" s="1"/>
      <c r="F6" s="1"/>
      <c r="G6" s="1"/>
      <c r="H6" s="2"/>
      <c r="I6" s="2"/>
      <c r="J6" s="1"/>
      <c r="K6" s="1"/>
      <c r="L6" s="1"/>
      <c r="M6" s="1"/>
      <c r="N6" s="1"/>
      <c r="O6" s="1"/>
      <c r="P6" s="1"/>
      <c r="Q6" s="1"/>
      <c r="R6" s="1"/>
      <c r="S6" s="1"/>
      <c r="T6" s="1"/>
      <c r="U6" s="1"/>
      <c r="V6" s="1"/>
      <c r="W6" s="1"/>
      <c r="X6" s="1"/>
      <c r="Y6" s="1"/>
      <c r="Z6" s="1"/>
      <c r="AA6" s="1"/>
      <c r="AB6" s="1"/>
      <c r="AC6" s="1"/>
    </row>
    <row r="7" spans="1:29" ht="23.25" x14ac:dyDescent="0.35">
      <c r="A7" s="28"/>
      <c r="B7" s="146" t="s">
        <v>4</v>
      </c>
      <c r="C7" s="147"/>
      <c r="D7" s="140"/>
      <c r="E7" s="1"/>
      <c r="F7" s="1"/>
      <c r="G7" s="1"/>
      <c r="H7" s="2"/>
      <c r="I7" s="2"/>
      <c r="J7" s="1"/>
      <c r="K7" s="1"/>
      <c r="L7" s="1"/>
      <c r="M7" s="1"/>
      <c r="N7" s="1"/>
      <c r="O7" s="1"/>
      <c r="P7" s="1"/>
      <c r="Q7" s="1"/>
      <c r="R7" s="1"/>
      <c r="S7" s="1"/>
      <c r="T7" s="1"/>
      <c r="U7" s="1"/>
      <c r="V7" s="1"/>
      <c r="W7" s="1"/>
      <c r="X7" s="1"/>
      <c r="Y7" s="1"/>
      <c r="Z7" s="1"/>
      <c r="AA7" s="1"/>
      <c r="AB7" s="1"/>
      <c r="AC7" s="1"/>
    </row>
    <row r="8" spans="1:29" ht="23.25" x14ac:dyDescent="0.35">
      <c r="A8" s="28" t="s">
        <v>5</v>
      </c>
      <c r="B8" s="148" t="s">
        <v>6</v>
      </c>
      <c r="C8" s="144" t="s">
        <v>7</v>
      </c>
      <c r="D8" s="140"/>
      <c r="E8" s="1"/>
      <c r="F8" s="1"/>
      <c r="G8" s="1"/>
      <c r="H8" s="2"/>
      <c r="I8" s="2"/>
      <c r="J8" s="1"/>
      <c r="K8" s="1"/>
      <c r="L8" s="1"/>
      <c r="M8" s="1"/>
      <c r="N8" s="1"/>
      <c r="O8" s="1"/>
      <c r="P8" s="1"/>
      <c r="Q8" s="1"/>
      <c r="R8" s="1"/>
      <c r="S8" s="1"/>
      <c r="T8" s="1"/>
      <c r="U8" s="1"/>
      <c r="V8" s="1"/>
      <c r="W8" s="1"/>
      <c r="X8" s="1"/>
      <c r="Y8" s="1"/>
      <c r="Z8" s="1"/>
      <c r="AA8" s="1"/>
      <c r="AB8" s="1"/>
      <c r="AC8" s="1"/>
    </row>
    <row r="9" spans="1:29" ht="21.75" customHeight="1" x14ac:dyDescent="0.35">
      <c r="A9" s="28" t="s">
        <v>7</v>
      </c>
      <c r="B9" s="143" t="s">
        <v>8</v>
      </c>
      <c r="C9" s="144" t="s">
        <v>12</v>
      </c>
      <c r="D9" s="140"/>
      <c r="E9" s="1"/>
      <c r="F9" s="1"/>
      <c r="G9" s="1"/>
      <c r="H9" s="2"/>
      <c r="I9" s="2"/>
      <c r="J9" s="1"/>
      <c r="K9" s="1"/>
      <c r="L9" s="1"/>
      <c r="M9" s="1"/>
      <c r="N9" s="1"/>
      <c r="O9" s="1"/>
      <c r="P9" s="1"/>
      <c r="Q9" s="1"/>
      <c r="R9" s="1"/>
      <c r="S9" s="1"/>
      <c r="T9" s="1"/>
      <c r="U9" s="1"/>
      <c r="V9" s="1"/>
      <c r="W9" s="1"/>
      <c r="X9" s="1"/>
      <c r="Y9" s="1"/>
      <c r="Z9" s="1"/>
      <c r="AA9" s="1"/>
      <c r="AB9" s="1"/>
      <c r="AC9" s="1"/>
    </row>
    <row r="10" spans="1:29" ht="23.25" x14ac:dyDescent="0.35">
      <c r="A10" s="28" t="s">
        <v>10</v>
      </c>
      <c r="B10" s="148" t="s">
        <v>505</v>
      </c>
      <c r="C10" s="144" t="s">
        <v>11</v>
      </c>
      <c r="D10" s="140"/>
      <c r="E10" s="1"/>
      <c r="F10" s="1"/>
      <c r="G10" s="1"/>
      <c r="H10" s="2"/>
      <c r="I10" s="2"/>
      <c r="J10" s="1"/>
      <c r="K10" s="1"/>
      <c r="L10" s="1"/>
      <c r="M10" s="1"/>
      <c r="N10" s="1"/>
      <c r="O10" s="1"/>
      <c r="P10" s="1"/>
      <c r="Q10" s="1"/>
      <c r="R10" s="1"/>
      <c r="S10" s="1"/>
      <c r="T10" s="1"/>
      <c r="U10" s="1"/>
      <c r="V10" s="1"/>
      <c r="W10" s="1"/>
      <c r="X10" s="1"/>
      <c r="Y10" s="1"/>
      <c r="Z10" s="1"/>
      <c r="AA10" s="1"/>
      <c r="AB10" s="1"/>
      <c r="AC10" s="1"/>
    </row>
    <row r="11" spans="1:29" ht="23.25" x14ac:dyDescent="0.35">
      <c r="A11" s="28" t="s">
        <v>12</v>
      </c>
      <c r="B11" s="148" t="s">
        <v>504</v>
      </c>
      <c r="C11" s="149">
        <v>90</v>
      </c>
      <c r="D11" s="150"/>
      <c r="E11" s="2"/>
      <c r="F11" s="2"/>
      <c r="G11" s="2"/>
      <c r="H11" s="2"/>
      <c r="I11" s="2"/>
      <c r="J11" s="2"/>
      <c r="K11" s="2"/>
      <c r="L11" s="2"/>
      <c r="M11" s="2"/>
      <c r="N11" s="2"/>
      <c r="O11" s="2"/>
      <c r="P11" s="2"/>
      <c r="Q11" s="2"/>
      <c r="R11" s="2"/>
      <c r="S11" s="2"/>
      <c r="T11" s="2"/>
      <c r="U11" s="2"/>
      <c r="V11" s="2"/>
      <c r="W11" s="2"/>
      <c r="X11" s="2"/>
      <c r="Y11" s="2"/>
      <c r="Z11" s="2"/>
      <c r="AA11" s="2"/>
      <c r="AB11" s="2"/>
      <c r="AC11" s="2"/>
    </row>
    <row r="12" spans="1:29" ht="23.25" x14ac:dyDescent="0.35">
      <c r="A12" s="28" t="s">
        <v>9</v>
      </c>
      <c r="B12" s="148" t="s">
        <v>503</v>
      </c>
      <c r="C12" s="149">
        <v>14</v>
      </c>
      <c r="D12" s="150"/>
      <c r="E12" s="2"/>
      <c r="F12" s="2"/>
      <c r="G12" s="2"/>
      <c r="H12" s="2"/>
      <c r="I12" s="2"/>
      <c r="J12" s="2"/>
      <c r="K12" s="2"/>
      <c r="L12" s="2"/>
      <c r="M12" s="2"/>
      <c r="N12" s="2"/>
      <c r="O12" s="2"/>
      <c r="P12" s="2"/>
      <c r="Q12" s="2"/>
      <c r="R12" s="2"/>
      <c r="S12" s="2"/>
      <c r="T12" s="2"/>
      <c r="U12" s="2"/>
      <c r="V12" s="2"/>
      <c r="W12" s="2"/>
      <c r="X12" s="2"/>
      <c r="Y12" s="2"/>
      <c r="Z12" s="2"/>
      <c r="AA12" s="2"/>
      <c r="AB12" s="2"/>
      <c r="AC12" s="2"/>
    </row>
    <row r="13" spans="1:29" ht="23.25" x14ac:dyDescent="0.35">
      <c r="B13" s="148" t="s">
        <v>13</v>
      </c>
      <c r="C13" s="144" t="s">
        <v>5</v>
      </c>
      <c r="D13" s="140"/>
      <c r="E13" s="1"/>
      <c r="F13" s="1"/>
      <c r="G13" s="1"/>
      <c r="H13" s="2"/>
      <c r="I13" s="2"/>
      <c r="J13" s="1"/>
      <c r="K13" s="1"/>
      <c r="L13" s="1"/>
      <c r="M13" s="1"/>
      <c r="N13" s="1"/>
      <c r="O13" s="1"/>
      <c r="P13" s="1"/>
      <c r="Q13" s="1"/>
      <c r="R13" s="1"/>
      <c r="S13" s="1"/>
      <c r="T13" s="1"/>
      <c r="U13" s="1"/>
      <c r="V13" s="1"/>
      <c r="W13" s="1"/>
      <c r="X13" s="1"/>
      <c r="Y13" s="1"/>
      <c r="Z13" s="1"/>
      <c r="AA13" s="1"/>
      <c r="AB13" s="1"/>
      <c r="AC13" s="1"/>
    </row>
    <row r="14" spans="1:29" ht="23.25" x14ac:dyDescent="0.35">
      <c r="B14" s="148" t="s">
        <v>14</v>
      </c>
      <c r="C14" s="144" t="s">
        <v>5</v>
      </c>
      <c r="D14" s="140"/>
      <c r="E14" s="1"/>
      <c r="F14" s="1"/>
      <c r="G14" s="1"/>
      <c r="H14" s="2"/>
      <c r="I14" s="2"/>
      <c r="J14" s="1"/>
      <c r="K14" s="1"/>
      <c r="L14" s="1"/>
      <c r="M14" s="1"/>
      <c r="N14" s="1"/>
      <c r="O14" s="1"/>
      <c r="P14" s="1"/>
      <c r="Q14" s="1"/>
      <c r="R14" s="1"/>
      <c r="S14" s="1"/>
      <c r="T14" s="1"/>
      <c r="U14" s="1"/>
      <c r="V14" s="1"/>
      <c r="W14" s="1"/>
      <c r="X14" s="1"/>
      <c r="Y14" s="1"/>
      <c r="Z14" s="1"/>
      <c r="AA14" s="1"/>
      <c r="AB14" s="1"/>
      <c r="AC14" s="1"/>
    </row>
    <row r="15" spans="1:29" ht="23.25" x14ac:dyDescent="0.35">
      <c r="A15" s="28"/>
      <c r="B15" s="148" t="s">
        <v>15</v>
      </c>
      <c r="C15" s="144" t="s">
        <v>19</v>
      </c>
      <c r="D15" s="140"/>
      <c r="E15" s="1"/>
      <c r="F15" s="1"/>
      <c r="G15" s="1"/>
      <c r="H15" s="2"/>
      <c r="I15" s="2"/>
      <c r="J15" s="1"/>
      <c r="K15" s="1"/>
      <c r="L15" s="1"/>
      <c r="M15" s="1"/>
      <c r="N15" s="1"/>
      <c r="O15" s="1"/>
      <c r="P15" s="1"/>
      <c r="Q15" s="1"/>
      <c r="R15" s="1"/>
      <c r="S15" s="1"/>
      <c r="T15" s="1"/>
      <c r="U15" s="1"/>
      <c r="V15" s="1"/>
      <c r="W15" s="1"/>
      <c r="X15" s="1"/>
      <c r="Y15" s="1"/>
      <c r="Z15" s="1"/>
      <c r="AA15" s="1"/>
      <c r="AB15" s="1"/>
      <c r="AC15" s="1"/>
    </row>
    <row r="16" spans="1:29" ht="23.25" x14ac:dyDescent="0.35">
      <c r="A16" s="28" t="s">
        <v>16</v>
      </c>
      <c r="B16" s="148" t="s">
        <v>17</v>
      </c>
      <c r="C16" s="144" t="s">
        <v>5</v>
      </c>
      <c r="D16" s="140"/>
      <c r="E16" s="1"/>
      <c r="F16" s="1"/>
      <c r="G16" s="1"/>
      <c r="H16" s="2"/>
      <c r="I16" s="2"/>
      <c r="J16" s="1"/>
      <c r="K16" s="1"/>
      <c r="L16" s="1"/>
      <c r="M16" s="1"/>
      <c r="N16" s="1"/>
      <c r="O16" s="1"/>
      <c r="P16" s="1"/>
      <c r="Q16" s="1"/>
      <c r="R16" s="1"/>
      <c r="S16" s="1"/>
      <c r="T16" s="1"/>
      <c r="U16" s="1"/>
      <c r="V16" s="1"/>
      <c r="W16" s="1"/>
      <c r="X16" s="1"/>
      <c r="Y16" s="1"/>
      <c r="Z16" s="1"/>
      <c r="AA16" s="1"/>
      <c r="AB16" s="1"/>
      <c r="AC16" s="1"/>
    </row>
    <row r="17" spans="1:29" ht="46.5" x14ac:dyDescent="0.35">
      <c r="A17" s="28" t="s">
        <v>11</v>
      </c>
      <c r="B17" s="148" t="s">
        <v>18</v>
      </c>
      <c r="C17" s="144" t="s">
        <v>5</v>
      </c>
      <c r="D17" s="140"/>
      <c r="E17" s="1"/>
      <c r="F17" s="1"/>
      <c r="G17" s="1"/>
      <c r="H17" s="2"/>
      <c r="I17" s="2"/>
      <c r="J17" s="1"/>
      <c r="K17" s="1"/>
      <c r="L17" s="1"/>
      <c r="M17" s="1"/>
      <c r="N17" s="1"/>
      <c r="O17" s="1"/>
      <c r="P17" s="1"/>
      <c r="Q17" s="1"/>
      <c r="R17" s="1"/>
      <c r="S17" s="1"/>
      <c r="T17" s="1"/>
      <c r="U17" s="1"/>
      <c r="V17" s="1"/>
      <c r="W17" s="1"/>
      <c r="X17" s="1"/>
      <c r="Y17" s="1"/>
      <c r="Z17" s="1"/>
      <c r="AA17" s="1"/>
      <c r="AB17" s="1"/>
      <c r="AC17" s="1"/>
    </row>
    <row r="18" spans="1:29" ht="46.5" x14ac:dyDescent="0.35">
      <c r="A18" s="28" t="s">
        <v>19</v>
      </c>
      <c r="B18" s="148" t="s">
        <v>20</v>
      </c>
      <c r="C18" s="144" t="s">
        <v>5</v>
      </c>
      <c r="D18" s="140"/>
      <c r="E18" s="1"/>
      <c r="F18" s="1"/>
      <c r="G18" s="1"/>
      <c r="H18" s="2"/>
      <c r="I18" s="2"/>
      <c r="J18" s="1"/>
      <c r="K18" s="1"/>
      <c r="L18" s="1"/>
      <c r="M18" s="1"/>
      <c r="N18" s="1"/>
      <c r="O18" s="1"/>
      <c r="P18" s="1"/>
      <c r="Q18" s="1"/>
      <c r="R18" s="1"/>
      <c r="S18" s="1"/>
      <c r="T18" s="1"/>
      <c r="U18" s="1"/>
      <c r="V18" s="1"/>
      <c r="W18" s="1"/>
      <c r="X18" s="1"/>
      <c r="Y18" s="1"/>
      <c r="Z18" s="1"/>
      <c r="AA18" s="1"/>
      <c r="AB18" s="1"/>
      <c r="AC18" s="1"/>
    </row>
    <row r="19" spans="1:29" ht="23.25" x14ac:dyDescent="0.35">
      <c r="A19" s="28" t="s">
        <v>21</v>
      </c>
      <c r="B19" s="148" t="s">
        <v>22</v>
      </c>
      <c r="C19" s="144" t="s">
        <v>7</v>
      </c>
      <c r="D19" s="140"/>
      <c r="E19" s="1"/>
      <c r="F19" s="1"/>
      <c r="G19" s="1"/>
      <c r="H19" s="2"/>
      <c r="I19" s="2"/>
      <c r="J19" s="1"/>
      <c r="K19" s="1"/>
      <c r="L19" s="1"/>
      <c r="M19" s="1"/>
      <c r="N19" s="1"/>
      <c r="O19" s="1"/>
      <c r="P19" s="1"/>
      <c r="Q19" s="1"/>
      <c r="R19" s="1"/>
      <c r="S19" s="1"/>
      <c r="T19" s="1"/>
      <c r="U19" s="1"/>
      <c r="V19" s="1"/>
      <c r="W19" s="1"/>
      <c r="X19" s="1"/>
      <c r="Y19" s="1"/>
      <c r="Z19" s="1"/>
      <c r="AA19" s="1"/>
      <c r="AB19" s="1"/>
      <c r="AC19" s="1"/>
    </row>
    <row r="20" spans="1:29" ht="23.25" x14ac:dyDescent="0.35">
      <c r="A20" s="28" t="s">
        <v>23</v>
      </c>
      <c r="B20" s="143" t="s">
        <v>24</v>
      </c>
      <c r="C20" s="144"/>
      <c r="D20" s="140"/>
      <c r="E20" s="1"/>
      <c r="F20" s="1"/>
      <c r="G20" s="1"/>
      <c r="H20" s="2"/>
      <c r="I20" s="2"/>
      <c r="J20" s="1"/>
      <c r="K20" s="1"/>
      <c r="L20" s="1"/>
      <c r="M20" s="1"/>
      <c r="N20" s="1"/>
      <c r="O20" s="1"/>
      <c r="P20" s="1"/>
      <c r="Q20" s="1"/>
      <c r="R20" s="1"/>
      <c r="S20" s="1"/>
      <c r="T20" s="1"/>
      <c r="U20" s="1"/>
      <c r="V20" s="1"/>
      <c r="W20" s="1"/>
      <c r="X20" s="1"/>
      <c r="Y20" s="1"/>
      <c r="Z20" s="1"/>
      <c r="AA20" s="1"/>
      <c r="AB20" s="1"/>
      <c r="AC20" s="1"/>
    </row>
    <row r="21" spans="1:29" ht="23.25" x14ac:dyDescent="0.35">
      <c r="A21" s="28" t="s">
        <v>25</v>
      </c>
      <c r="B21" s="143" t="s">
        <v>26</v>
      </c>
      <c r="C21" s="144" t="s">
        <v>29</v>
      </c>
      <c r="D21" s="140"/>
      <c r="E21" s="1"/>
      <c r="F21" s="1"/>
      <c r="G21" s="1"/>
      <c r="H21" s="2"/>
      <c r="I21" s="2"/>
      <c r="J21" s="1"/>
      <c r="K21" s="1"/>
      <c r="L21" s="1"/>
      <c r="M21" s="1"/>
      <c r="N21" s="1"/>
      <c r="O21" s="1"/>
      <c r="P21" s="1"/>
      <c r="Q21" s="1"/>
      <c r="R21" s="1"/>
      <c r="S21" s="1"/>
      <c r="T21" s="1"/>
      <c r="U21" s="1"/>
      <c r="V21" s="1"/>
      <c r="W21" s="1"/>
      <c r="X21" s="1"/>
      <c r="Y21" s="1"/>
      <c r="Z21" s="1"/>
      <c r="AA21" s="1"/>
      <c r="AB21" s="1"/>
      <c r="AC21" s="1"/>
    </row>
    <row r="22" spans="1:29" ht="26.25" customHeight="1" x14ac:dyDescent="0.35">
      <c r="A22" s="28" t="s">
        <v>27</v>
      </c>
      <c r="B22" s="148" t="s">
        <v>28</v>
      </c>
      <c r="C22" s="144" t="s">
        <v>33</v>
      </c>
      <c r="D22" s="140"/>
      <c r="E22" s="1"/>
      <c r="F22" s="1"/>
      <c r="G22" s="1"/>
      <c r="H22" s="2"/>
      <c r="I22" s="2"/>
      <c r="J22" s="1"/>
      <c r="K22" s="1"/>
      <c r="L22" s="1"/>
      <c r="M22" s="1"/>
      <c r="N22" s="1"/>
      <c r="O22" s="1"/>
      <c r="P22" s="1"/>
      <c r="Q22" s="1"/>
      <c r="R22" s="1"/>
      <c r="S22" s="1"/>
      <c r="T22" s="1"/>
      <c r="U22" s="1"/>
      <c r="V22" s="1"/>
      <c r="W22" s="1"/>
      <c r="X22" s="1"/>
      <c r="Y22" s="1"/>
      <c r="Z22" s="1"/>
      <c r="AA22" s="1"/>
      <c r="AB22" s="1"/>
      <c r="AC22" s="1"/>
    </row>
    <row r="23" spans="1:29" ht="21.75" customHeight="1" x14ac:dyDescent="0.35">
      <c r="A23" s="28" t="s">
        <v>29</v>
      </c>
      <c r="B23" s="156" t="s">
        <v>30</v>
      </c>
      <c r="C23" s="144" t="s">
        <v>37</v>
      </c>
      <c r="D23" s="140"/>
      <c r="E23" s="1"/>
      <c r="F23" s="1"/>
      <c r="G23" s="1"/>
      <c r="H23" s="2"/>
      <c r="I23" s="2"/>
      <c r="J23" s="1"/>
      <c r="K23" s="1"/>
      <c r="L23" s="1"/>
      <c r="M23" s="1"/>
      <c r="N23" s="1"/>
      <c r="O23" s="1"/>
      <c r="P23" s="1"/>
      <c r="Q23" s="1"/>
      <c r="R23" s="1"/>
      <c r="S23" s="1"/>
      <c r="T23" s="1"/>
      <c r="U23" s="1"/>
      <c r="V23" s="1"/>
      <c r="W23" s="1"/>
      <c r="X23" s="1"/>
      <c r="Y23" s="1"/>
      <c r="Z23" s="1"/>
      <c r="AA23" s="1"/>
      <c r="AB23" s="1"/>
      <c r="AC23" s="1"/>
    </row>
    <row r="24" spans="1:29" ht="26.25" customHeight="1" x14ac:dyDescent="0.35">
      <c r="A24" s="28" t="s">
        <v>31</v>
      </c>
      <c r="B24" s="143" t="s">
        <v>32</v>
      </c>
      <c r="C24" s="144" t="s">
        <v>507</v>
      </c>
      <c r="D24" s="140"/>
      <c r="E24" s="1"/>
      <c r="F24" s="1"/>
      <c r="G24" s="1"/>
      <c r="H24" s="2"/>
      <c r="I24" s="2"/>
      <c r="J24" s="1"/>
      <c r="K24" s="1"/>
      <c r="L24" s="1"/>
      <c r="M24" s="1"/>
      <c r="N24" s="1"/>
      <c r="O24" s="1"/>
      <c r="P24" s="1"/>
      <c r="Q24" s="1"/>
      <c r="R24" s="1"/>
      <c r="S24" s="1"/>
      <c r="T24" s="1"/>
      <c r="U24" s="1"/>
      <c r="V24" s="1"/>
      <c r="W24" s="1"/>
      <c r="X24" s="1"/>
      <c r="Y24" s="1"/>
      <c r="Z24" s="1"/>
      <c r="AA24" s="1"/>
      <c r="AB24" s="1"/>
      <c r="AC24" s="1"/>
    </row>
    <row r="25" spans="1:29" ht="29.25" customHeight="1" x14ac:dyDescent="0.35">
      <c r="A25" s="28" t="s">
        <v>33</v>
      </c>
      <c r="B25" s="148" t="s">
        <v>34</v>
      </c>
      <c r="C25" s="155" t="s">
        <v>42</v>
      </c>
      <c r="D25" s="140"/>
      <c r="E25" s="1"/>
      <c r="F25" s="1"/>
      <c r="G25" s="1"/>
      <c r="H25" s="2"/>
      <c r="I25" s="2"/>
      <c r="J25" s="1"/>
      <c r="K25" s="1"/>
      <c r="L25" s="1"/>
      <c r="M25" s="1"/>
      <c r="N25" s="1"/>
      <c r="O25" s="1"/>
      <c r="P25" s="1"/>
      <c r="Q25" s="1"/>
      <c r="R25" s="1"/>
      <c r="S25" s="1"/>
      <c r="T25" s="1"/>
      <c r="U25" s="1"/>
      <c r="V25" s="1"/>
      <c r="W25" s="1"/>
      <c r="X25" s="1"/>
      <c r="Y25" s="1"/>
      <c r="Z25" s="1"/>
      <c r="AA25" s="1"/>
      <c r="AB25" s="1"/>
      <c r="AC25" s="1"/>
    </row>
    <row r="26" spans="1:29" ht="32.25" customHeight="1" x14ac:dyDescent="0.35">
      <c r="A26" s="28" t="s">
        <v>35</v>
      </c>
      <c r="B26" s="148" t="s">
        <v>36</v>
      </c>
      <c r="C26" s="144" t="s">
        <v>7</v>
      </c>
      <c r="D26" s="140"/>
      <c r="E26" s="1"/>
      <c r="F26" s="1"/>
      <c r="G26" s="1"/>
      <c r="H26" s="2"/>
      <c r="I26" s="2"/>
      <c r="J26" s="1"/>
      <c r="K26" s="1"/>
      <c r="L26" s="1"/>
      <c r="M26" s="1"/>
      <c r="N26" s="1"/>
      <c r="O26" s="1"/>
      <c r="P26" s="1"/>
      <c r="Q26" s="1"/>
      <c r="R26" s="1"/>
      <c r="S26" s="1"/>
      <c r="T26" s="1"/>
      <c r="U26" s="1"/>
      <c r="V26" s="1"/>
      <c r="W26" s="1"/>
      <c r="X26" s="1"/>
      <c r="Y26" s="1"/>
      <c r="Z26" s="1"/>
      <c r="AA26" s="1"/>
      <c r="AB26" s="1"/>
      <c r="AC26" s="1"/>
    </row>
    <row r="27" spans="1:29" ht="32.25" customHeight="1" thickBot="1" x14ac:dyDescent="0.4">
      <c r="A27" s="28" t="s">
        <v>37</v>
      </c>
      <c r="B27" s="154" t="s">
        <v>38</v>
      </c>
      <c r="C27" s="151" t="s">
        <v>43</v>
      </c>
      <c r="D27" s="140"/>
      <c r="E27" s="1"/>
      <c r="F27" s="1"/>
      <c r="G27" s="1"/>
      <c r="H27" s="2"/>
      <c r="I27" s="2"/>
      <c r="J27" s="1"/>
      <c r="K27" s="1"/>
      <c r="L27" s="1"/>
      <c r="M27" s="1"/>
      <c r="N27" s="1"/>
      <c r="O27" s="1"/>
      <c r="P27" s="1"/>
      <c r="Q27" s="1"/>
      <c r="R27" s="1"/>
      <c r="S27" s="1"/>
      <c r="T27" s="1"/>
      <c r="U27" s="1"/>
      <c r="V27" s="1"/>
      <c r="W27" s="1"/>
      <c r="X27" s="1"/>
      <c r="Y27" s="1"/>
      <c r="Z27" s="1"/>
      <c r="AA27" s="1"/>
      <c r="AB27" s="1"/>
      <c r="AC27" s="1"/>
    </row>
    <row r="28" spans="1:29" ht="23.25" customHeight="1" thickBot="1" x14ac:dyDescent="0.4">
      <c r="A28" s="28" t="s">
        <v>40</v>
      </c>
      <c r="B28" s="152" t="s">
        <v>508</v>
      </c>
      <c r="C28" s="157">
        <v>9000</v>
      </c>
      <c r="D28" s="140"/>
      <c r="E28" s="1"/>
      <c r="F28" s="1"/>
      <c r="G28" s="1"/>
      <c r="H28" s="2"/>
      <c r="I28" s="2"/>
      <c r="J28" s="1"/>
      <c r="K28" s="1"/>
      <c r="L28" s="1"/>
      <c r="M28" s="1"/>
      <c r="N28" s="1"/>
      <c r="O28" s="1"/>
      <c r="P28" s="1"/>
      <c r="Q28" s="1"/>
      <c r="R28" s="1"/>
      <c r="S28" s="1"/>
      <c r="T28" s="1"/>
      <c r="U28" s="1"/>
      <c r="V28" s="1"/>
      <c r="W28" s="1"/>
      <c r="X28" s="1"/>
      <c r="Y28" s="1"/>
      <c r="Z28" s="1"/>
      <c r="AA28" s="1"/>
      <c r="AB28" s="1"/>
      <c r="AC28" s="1"/>
    </row>
    <row r="29" spans="1:29" ht="15.75" customHeight="1" x14ac:dyDescent="0.35">
      <c r="A29" s="28" t="s">
        <v>506</v>
      </c>
      <c r="B29" s="139" t="s">
        <v>509</v>
      </c>
      <c r="C29" s="153"/>
      <c r="D29" s="140"/>
      <c r="E29" s="1"/>
      <c r="F29" s="1"/>
      <c r="G29" s="1"/>
      <c r="H29" s="2"/>
      <c r="I29" s="2"/>
      <c r="J29" s="1"/>
      <c r="K29" s="1"/>
      <c r="L29" s="1"/>
      <c r="M29" s="1"/>
      <c r="N29" s="1"/>
      <c r="O29" s="1"/>
      <c r="P29" s="1"/>
      <c r="Q29" s="1"/>
      <c r="R29" s="1"/>
      <c r="S29" s="1"/>
      <c r="T29" s="1"/>
      <c r="U29" s="1"/>
      <c r="V29" s="1"/>
      <c r="W29" s="1"/>
      <c r="X29" s="1"/>
      <c r="Y29" s="1"/>
      <c r="Z29" s="1"/>
      <c r="AA29" s="1"/>
      <c r="AB29" s="1"/>
      <c r="AC29" s="1"/>
    </row>
    <row r="30" spans="1:29" ht="23.25" hidden="1" customHeight="1" x14ac:dyDescent="0.4">
      <c r="A30" s="28" t="s">
        <v>507</v>
      </c>
      <c r="B30" s="20"/>
      <c r="C30" s="1"/>
      <c r="D30" s="110"/>
      <c r="E30" s="1"/>
      <c r="F30" s="1"/>
      <c r="G30" s="1"/>
      <c r="H30" s="2"/>
      <c r="I30" s="2"/>
      <c r="J30" s="1"/>
      <c r="K30" s="1"/>
      <c r="L30" s="1"/>
      <c r="M30" s="1"/>
      <c r="N30" s="1"/>
      <c r="O30" s="1"/>
      <c r="P30" s="1"/>
      <c r="Q30" s="1"/>
      <c r="R30" s="1"/>
      <c r="S30" s="1"/>
      <c r="T30" s="1"/>
      <c r="U30" s="1"/>
      <c r="V30" s="1"/>
      <c r="W30" s="1"/>
      <c r="X30" s="1"/>
      <c r="Y30" s="1"/>
      <c r="Z30" s="1"/>
      <c r="AA30" s="1"/>
      <c r="AB30" s="1"/>
      <c r="AC30" s="1"/>
    </row>
    <row r="31" spans="1:29" ht="16.5" hidden="1" customHeight="1" x14ac:dyDescent="0.4">
      <c r="A31" s="25" t="s">
        <v>41</v>
      </c>
      <c r="C31" s="1"/>
      <c r="D31" s="110"/>
      <c r="E31" s="1"/>
      <c r="F31" s="1"/>
      <c r="G31" s="1"/>
      <c r="H31" s="2"/>
      <c r="I31" s="2"/>
      <c r="J31" s="1"/>
      <c r="K31" s="1"/>
      <c r="L31" s="1"/>
      <c r="M31" s="1"/>
      <c r="N31" s="1"/>
      <c r="O31" s="1"/>
      <c r="P31" s="1"/>
      <c r="Q31" s="1"/>
      <c r="R31" s="1"/>
      <c r="S31" s="1"/>
      <c r="T31" s="1"/>
      <c r="U31" s="1"/>
      <c r="V31" s="1"/>
      <c r="W31" s="1"/>
      <c r="X31" s="1"/>
      <c r="Y31" s="1"/>
      <c r="Z31" s="1"/>
      <c r="AA31" s="1"/>
      <c r="AB31" s="1"/>
      <c r="AC31" s="1"/>
    </row>
    <row r="32" spans="1:29" ht="16.5" hidden="1" customHeight="1" x14ac:dyDescent="0.4">
      <c r="A32" s="25" t="s">
        <v>42</v>
      </c>
      <c r="B32" s="1"/>
      <c r="C32" s="1"/>
      <c r="D32" s="110"/>
      <c r="E32" s="1"/>
      <c r="F32" s="1"/>
      <c r="G32" s="1"/>
      <c r="H32" s="2"/>
      <c r="I32" s="2"/>
      <c r="J32" s="1"/>
      <c r="K32" s="1"/>
      <c r="L32" s="1"/>
      <c r="M32" s="1"/>
      <c r="N32" s="1"/>
      <c r="O32" s="1"/>
      <c r="P32" s="1"/>
      <c r="Q32" s="1"/>
      <c r="R32" s="1"/>
      <c r="S32" s="1"/>
      <c r="T32" s="1"/>
      <c r="U32" s="1"/>
      <c r="V32" s="1"/>
      <c r="W32" s="1"/>
      <c r="X32" s="1"/>
      <c r="Y32" s="1"/>
      <c r="Z32" s="1"/>
      <c r="AA32" s="1"/>
      <c r="AB32" s="1"/>
      <c r="AC32" s="1"/>
    </row>
    <row r="33" spans="1:29" ht="21.75" hidden="1" customHeight="1" x14ac:dyDescent="0.4">
      <c r="A33" s="25" t="s">
        <v>39</v>
      </c>
      <c r="B33" s="1"/>
      <c r="C33" s="1"/>
      <c r="D33" s="110"/>
      <c r="E33" s="1"/>
      <c r="F33" s="1"/>
      <c r="G33" s="1"/>
      <c r="H33" s="2"/>
      <c r="I33" s="2"/>
      <c r="J33" s="1"/>
      <c r="K33" s="1"/>
      <c r="L33" s="1"/>
      <c r="M33" s="1"/>
      <c r="N33" s="1"/>
      <c r="O33" s="1"/>
      <c r="P33" s="1"/>
      <c r="Q33" s="1"/>
      <c r="R33" s="1"/>
      <c r="S33" s="1"/>
      <c r="T33" s="1"/>
      <c r="U33" s="1"/>
      <c r="V33" s="1"/>
      <c r="W33" s="1"/>
      <c r="X33" s="1"/>
      <c r="Y33" s="1"/>
      <c r="Z33" s="1"/>
      <c r="AA33" s="1"/>
      <c r="AB33" s="1"/>
      <c r="AC33" s="1"/>
    </row>
    <row r="34" spans="1:29" ht="25.5" hidden="1" customHeight="1" x14ac:dyDescent="0.4">
      <c r="A34" s="25" t="s">
        <v>43</v>
      </c>
      <c r="B34" s="1"/>
      <c r="C34" s="1"/>
      <c r="D34" s="110"/>
      <c r="E34" s="1"/>
      <c r="F34" s="1"/>
      <c r="G34" s="1"/>
      <c r="H34" s="2"/>
      <c r="I34" s="2"/>
      <c r="J34" s="1"/>
      <c r="K34" s="1"/>
      <c r="L34" s="1"/>
      <c r="M34" s="1"/>
      <c r="N34" s="1"/>
      <c r="O34" s="1"/>
      <c r="P34" s="1"/>
      <c r="Q34" s="1"/>
      <c r="R34" s="1"/>
      <c r="S34" s="1"/>
      <c r="T34" s="1"/>
      <c r="U34" s="1"/>
      <c r="V34" s="1"/>
      <c r="W34" s="1"/>
      <c r="X34" s="1"/>
      <c r="Y34" s="1"/>
      <c r="Z34" s="1"/>
      <c r="AA34" s="1"/>
      <c r="AB34" s="1"/>
      <c r="AC34" s="1"/>
    </row>
    <row r="35" spans="1:29" ht="16.5" hidden="1" customHeight="1" x14ac:dyDescent="0.4">
      <c r="A35" s="28"/>
      <c r="B35" s="1"/>
      <c r="C35" s="1"/>
      <c r="D35" s="110"/>
      <c r="E35" s="1"/>
      <c r="F35" s="1"/>
      <c r="G35" s="1"/>
      <c r="H35" s="2"/>
      <c r="I35" s="2"/>
      <c r="J35" s="1"/>
      <c r="K35" s="1"/>
      <c r="L35" s="1"/>
      <c r="M35" s="1"/>
      <c r="N35" s="1"/>
      <c r="O35" s="1"/>
      <c r="P35" s="1"/>
      <c r="Q35" s="1"/>
      <c r="R35" s="1"/>
      <c r="S35" s="1"/>
      <c r="T35" s="1"/>
      <c r="U35" s="1"/>
      <c r="V35" s="1"/>
      <c r="W35" s="1"/>
      <c r="X35" s="1"/>
      <c r="Y35" s="1"/>
      <c r="Z35" s="1"/>
      <c r="AA35" s="1"/>
      <c r="AB35" s="1"/>
      <c r="AC35" s="1"/>
    </row>
    <row r="36" spans="1:29" ht="15.75" customHeight="1" thickBot="1" x14ac:dyDescent="0.45">
      <c r="A36" s="28"/>
      <c r="B36" s="1"/>
      <c r="D36" s="110"/>
      <c r="E36" s="1"/>
      <c r="F36" s="1"/>
      <c r="G36" s="1"/>
      <c r="H36" s="2"/>
      <c r="I36" s="2"/>
      <c r="J36" s="1"/>
      <c r="K36" s="1"/>
      <c r="L36" s="1"/>
      <c r="M36" s="1"/>
      <c r="N36" s="1"/>
      <c r="O36" s="1"/>
      <c r="P36" s="1"/>
      <c r="Q36" s="1"/>
      <c r="R36" s="1"/>
      <c r="S36" s="1"/>
      <c r="T36" s="1"/>
      <c r="U36" s="1"/>
      <c r="V36" s="1"/>
      <c r="W36" s="1"/>
      <c r="X36" s="1"/>
      <c r="Y36" s="1"/>
      <c r="Z36" s="1"/>
      <c r="AA36" s="1"/>
      <c r="AB36" s="1"/>
      <c r="AC36" s="1"/>
    </row>
    <row r="37" spans="1:29" ht="15.75" customHeight="1" x14ac:dyDescent="0.4">
      <c r="A37" s="28"/>
      <c r="B37" s="117"/>
      <c r="C37" s="118"/>
      <c r="D37" s="119"/>
      <c r="E37" s="118"/>
      <c r="F37" s="118"/>
      <c r="G37" s="118"/>
      <c r="H37" s="118"/>
      <c r="I37" s="118"/>
      <c r="J37" s="118"/>
      <c r="K37" s="118"/>
      <c r="L37" s="120"/>
      <c r="M37" s="1"/>
      <c r="N37" s="1"/>
      <c r="O37" s="1"/>
      <c r="P37" s="1"/>
      <c r="Q37" s="1"/>
      <c r="R37" s="1"/>
      <c r="S37" s="1"/>
      <c r="T37" s="1"/>
      <c r="U37" s="1"/>
      <c r="V37" s="1"/>
      <c r="W37" s="1"/>
      <c r="X37" s="1"/>
      <c r="Y37" s="1"/>
      <c r="Z37" s="1"/>
      <c r="AA37" s="1"/>
      <c r="AB37" s="1"/>
      <c r="AC37" s="1"/>
    </row>
    <row r="38" spans="1:29" s="93" customFormat="1" ht="39.75" customHeight="1" x14ac:dyDescent="0.3">
      <c r="A38" s="78"/>
      <c r="B38" s="73" t="s">
        <v>44</v>
      </c>
      <c r="C38" s="74" t="s">
        <v>45</v>
      </c>
      <c r="D38" s="75" t="s">
        <v>234</v>
      </c>
      <c r="E38" s="76" t="s">
        <v>46</v>
      </c>
      <c r="F38" s="76" t="s">
        <v>47</v>
      </c>
      <c r="G38" s="76" t="s">
        <v>48</v>
      </c>
      <c r="H38" s="77" t="s">
        <v>286</v>
      </c>
      <c r="I38" s="77" t="s">
        <v>297</v>
      </c>
      <c r="J38" s="114" t="s">
        <v>49</v>
      </c>
      <c r="K38" s="115"/>
      <c r="L38" s="116"/>
      <c r="M38" s="91"/>
      <c r="N38" s="92"/>
      <c r="O38" s="92"/>
      <c r="P38" s="92"/>
      <c r="Q38" s="92"/>
      <c r="R38" s="92"/>
      <c r="S38" s="92"/>
      <c r="T38" s="92"/>
      <c r="U38" s="92"/>
      <c r="V38" s="92"/>
      <c r="W38" s="92"/>
      <c r="X38" s="92"/>
      <c r="Y38" s="92"/>
      <c r="Z38" s="92"/>
      <c r="AA38" s="92"/>
      <c r="AB38" s="92"/>
      <c r="AC38" s="92"/>
    </row>
    <row r="39" spans="1:29" s="109" customFormat="1" ht="30.75" hidden="1" customHeight="1" x14ac:dyDescent="0.25">
      <c r="A39" s="107">
        <v>1</v>
      </c>
      <c r="B39" s="94" t="str">
        <f>IF(AND(C10=A17,C9=A12,C27=A33,C6=A3),"Reutilización de aguas grises de edificios","")</f>
        <v/>
      </c>
      <c r="C39" s="96" t="str">
        <f>IF(B39="reutilización de aguas grises de edificios",'Matriz toma de decision'!AK3,"")</f>
        <v/>
      </c>
      <c r="D39" s="137">
        <f>IF(B39="Reutilización de aguas grises de edificios",'Matriz toma de decision'!X3*C12,0)</f>
        <v>0</v>
      </c>
      <c r="E39" s="79" t="s">
        <v>50</v>
      </c>
      <c r="F39" s="79" t="s">
        <v>51</v>
      </c>
      <c r="G39" s="80" t="s">
        <v>52</v>
      </c>
      <c r="H39" s="98">
        <f>'Matriz toma de decision'!Z3</f>
        <v>9.9027777777777784E-2</v>
      </c>
      <c r="I39" s="99" t="str">
        <f>'Matriz toma de decision'!AA3</f>
        <v>€/m3</v>
      </c>
      <c r="J39" s="100" t="s">
        <v>53</v>
      </c>
      <c r="K39" s="101" t="s">
        <v>54</v>
      </c>
      <c r="L39" s="102" t="s">
        <v>55</v>
      </c>
      <c r="M39" s="108"/>
      <c r="N39" s="108"/>
      <c r="O39" s="108"/>
      <c r="P39" s="108"/>
      <c r="Q39" s="108"/>
      <c r="R39" s="108"/>
      <c r="S39" s="108"/>
      <c r="T39" s="108"/>
      <c r="U39" s="108"/>
      <c r="V39" s="108"/>
      <c r="W39" s="108"/>
      <c r="X39" s="108"/>
      <c r="Y39" s="108"/>
      <c r="Z39" s="108"/>
      <c r="AA39" s="108"/>
      <c r="AB39" s="108"/>
      <c r="AC39" s="108"/>
    </row>
    <row r="40" spans="1:29" s="109" customFormat="1" ht="27" hidden="1" customHeight="1" x14ac:dyDescent="0.25">
      <c r="A40" s="107">
        <v>2</v>
      </c>
      <c r="B40" s="94" t="str">
        <f>IF(AND(C9=A11,C10=A16,C13=A8,C27=A33,C6=A3,C5=A3),"DEWAST-minería de alcantarilla","")</f>
        <v/>
      </c>
      <c r="C40" s="96" t="str">
        <f>IF(B40= "DEWAST-minería de alcantarilla",'Matriz toma de decision'!AK4,"")</f>
        <v/>
      </c>
      <c r="D40" s="137">
        <f>IF(B40="DEWAST-minería de alcantarilla",'Matriz toma de decision'!X4*C12,0)</f>
        <v>0</v>
      </c>
      <c r="E40" s="79" t="s">
        <v>56</v>
      </c>
      <c r="F40" s="79" t="s">
        <v>57</v>
      </c>
      <c r="G40" s="80" t="s">
        <v>58</v>
      </c>
      <c r="H40" s="98">
        <f>'Matriz toma de decision'!Z4</f>
        <v>0.20576131687242799</v>
      </c>
      <c r="I40" s="99" t="str">
        <f>'Matriz toma de decision'!AA4</f>
        <v>€/m3</v>
      </c>
      <c r="J40" s="100" t="s">
        <v>59</v>
      </c>
      <c r="K40" s="101" t="s">
        <v>60</v>
      </c>
      <c r="L40" s="102" t="s">
        <v>61</v>
      </c>
      <c r="M40" s="108"/>
      <c r="N40" s="108"/>
      <c r="O40" s="108"/>
      <c r="P40" s="108"/>
      <c r="Q40" s="108"/>
      <c r="R40" s="108"/>
      <c r="S40" s="108"/>
      <c r="T40" s="108"/>
      <c r="U40" s="108"/>
      <c r="V40" s="108"/>
      <c r="W40" s="108"/>
      <c r="X40" s="108"/>
      <c r="Y40" s="108"/>
      <c r="Z40" s="108"/>
      <c r="AA40" s="108"/>
      <c r="AB40" s="108"/>
      <c r="AC40" s="108"/>
    </row>
    <row r="41" spans="1:29" s="109" customFormat="1" ht="32.25" hidden="1" customHeight="1" x14ac:dyDescent="0.25">
      <c r="A41" s="107">
        <v>3</v>
      </c>
      <c r="B41" s="94" t="str">
        <f>IF(AND(C10=A16,C17=A8,C3=A3,C4=A3,C5=A3,(OR(C9=A12,C9=A11)),(OR(C23=A27,C23=A28))),"Bioswales","")</f>
        <v/>
      </c>
      <c r="C41" s="96" t="str">
        <f>IF(B41="Bioswales",'Matriz toma de decision'!AK5,"")</f>
        <v/>
      </c>
      <c r="D41" s="137">
        <f>IF(B41="Bioswales",'Matriz toma de decision'!X5*C11,0)</f>
        <v>0</v>
      </c>
      <c r="E41" s="79" t="s">
        <v>62</v>
      </c>
      <c r="F41" s="79" t="s">
        <v>63</v>
      </c>
      <c r="G41" s="80" t="s">
        <v>64</v>
      </c>
      <c r="H41" s="98">
        <f>'Matriz toma de decision'!Z5</f>
        <v>0.75</v>
      </c>
      <c r="I41" s="99" t="str">
        <f>'Matriz toma de decision'!AA5</f>
        <v>€/m2</v>
      </c>
      <c r="J41" s="100" t="s">
        <v>65</v>
      </c>
      <c r="K41" s="101" t="s">
        <v>66</v>
      </c>
      <c r="L41" s="102" t="s">
        <v>67</v>
      </c>
      <c r="M41" s="108"/>
      <c r="N41" s="108"/>
      <c r="O41" s="108"/>
      <c r="P41" s="108"/>
      <c r="Q41" s="108"/>
      <c r="R41" s="108"/>
      <c r="S41" s="108"/>
      <c r="T41" s="108"/>
      <c r="U41" s="108"/>
      <c r="V41" s="108"/>
      <c r="W41" s="108"/>
      <c r="X41" s="108"/>
      <c r="Y41" s="108"/>
      <c r="Z41" s="108"/>
      <c r="AA41" s="108"/>
      <c r="AB41" s="108"/>
      <c r="AC41" s="108"/>
    </row>
    <row r="42" spans="1:29" s="109" customFormat="1" ht="27" hidden="1" customHeight="1" x14ac:dyDescent="0.25">
      <c r="A42" s="107">
        <v>4</v>
      </c>
      <c r="B42" s="95" t="str">
        <f>IF(AND((OR(C9=A11,C9=A12)),C5=A3,C10=A16,C15=A18,C17=A8),"Drenaje pluvial - Depósito subterráneo almacenamiento de agua","")</f>
        <v/>
      </c>
      <c r="C42" s="96" t="str">
        <f>IF(B42="Drenaje pluvial - Depósito subterráneo almacenamiento de agua",'Matriz toma de decision'!AK6,"")</f>
        <v/>
      </c>
      <c r="D42" s="90">
        <f>IF(B42="Drenaje pluvial - Depósito subterráneo almacenamiento de agua",'Matriz toma de decision'!X6*C11,0)</f>
        <v>0</v>
      </c>
      <c r="E42" s="79" t="s">
        <v>68</v>
      </c>
      <c r="F42" s="79" t="s">
        <v>69</v>
      </c>
      <c r="G42" s="80" t="s">
        <v>70</v>
      </c>
      <c r="H42" s="98">
        <f>'Matriz toma de decision'!Z6</f>
        <v>7.1</v>
      </c>
      <c r="I42" s="99" t="str">
        <f>'Matriz toma de decision'!AA6</f>
        <v>€/m2</v>
      </c>
      <c r="J42" s="103" t="s">
        <v>71</v>
      </c>
      <c r="K42" s="101" t="s">
        <v>72</v>
      </c>
      <c r="L42" s="102" t="s">
        <v>73</v>
      </c>
      <c r="M42" s="108"/>
      <c r="N42" s="108"/>
      <c r="O42" s="108"/>
      <c r="P42" s="108"/>
      <c r="Q42" s="108"/>
      <c r="R42" s="108"/>
      <c r="S42" s="108"/>
      <c r="T42" s="108"/>
      <c r="U42" s="108"/>
      <c r="V42" s="108"/>
      <c r="W42" s="108"/>
      <c r="X42" s="108"/>
      <c r="Y42" s="108"/>
      <c r="Z42" s="108"/>
      <c r="AA42" s="108"/>
      <c r="AB42" s="108"/>
      <c r="AC42" s="108"/>
    </row>
    <row r="43" spans="1:29" s="109" customFormat="1" ht="25.5" hidden="1" customHeight="1" x14ac:dyDescent="0.25">
      <c r="A43" s="107">
        <v>5</v>
      </c>
      <c r="B43" s="94" t="str">
        <f>IF(AND((OR(C9=A11,C9=A12)),C3=A3,C4=A3,C5=A3,C10=A16,C15=A18,C17=A8,C16=A8,C18=A8),"Drenaje pluvial - Embalse de almacenamiento de agua","")</f>
        <v/>
      </c>
      <c r="C43" s="96" t="str">
        <f>IF(B43="Drenaje pluvial - Embalse de almacenamiento de agua",'Matriz toma de decision'!AK7,"")</f>
        <v/>
      </c>
      <c r="D43" s="137">
        <f>IF(B43="Drenaje pluvial - Embalse de almacenamiento de agua",'Matriz toma de decision'!X7*C11,0)</f>
        <v>0</v>
      </c>
      <c r="E43" s="79" t="s">
        <v>74</v>
      </c>
      <c r="F43" s="79" t="s">
        <v>75</v>
      </c>
      <c r="G43" s="80" t="s">
        <v>76</v>
      </c>
      <c r="H43" s="98">
        <f>'Matriz toma de decision'!Z7</f>
        <v>0.2</v>
      </c>
      <c r="I43" s="99" t="str">
        <f>'Matriz toma de decision'!AA7</f>
        <v>€/m2</v>
      </c>
      <c r="J43" s="100" t="s">
        <v>77</v>
      </c>
      <c r="K43" s="101" t="s">
        <v>78</v>
      </c>
      <c r="L43" s="102" t="s">
        <v>79</v>
      </c>
      <c r="M43" s="108"/>
      <c r="N43" s="108"/>
      <c r="O43" s="108"/>
      <c r="P43" s="108"/>
      <c r="Q43" s="108"/>
      <c r="R43" s="108"/>
      <c r="S43" s="108"/>
      <c r="T43" s="108"/>
      <c r="U43" s="108"/>
      <c r="V43" s="108"/>
      <c r="W43" s="108"/>
      <c r="X43" s="108"/>
      <c r="Y43" s="108"/>
      <c r="Z43" s="108"/>
      <c r="AA43" s="108"/>
      <c r="AB43" s="108"/>
      <c r="AC43" s="108"/>
    </row>
    <row r="44" spans="1:29" s="109" customFormat="1" ht="23.25" hidden="1" customHeight="1" x14ac:dyDescent="0.25">
      <c r="A44" s="107">
        <v>6</v>
      </c>
      <c r="B44" s="95" t="str">
        <f>IF(AND(C9=A11,C6=A3,C10=A17,C17=A8,C18=A8),"Captación agua de lluvia techo-depósito","")</f>
        <v/>
      </c>
      <c r="C44" s="96" t="str">
        <f>IF(B44="Captación agua de lluvia techo-depósito",'Matriz toma de decision'!AK8,"")</f>
        <v/>
      </c>
      <c r="D44" s="90">
        <f>IF(B44="Captación agua de lluvia techo-depósito",'Matriz toma de decision'!X9*C11,0)</f>
        <v>0</v>
      </c>
      <c r="E44" s="84" t="s">
        <v>68</v>
      </c>
      <c r="F44" s="84" t="s">
        <v>80</v>
      </c>
      <c r="G44" s="85" t="s">
        <v>81</v>
      </c>
      <c r="H44" s="98">
        <f>'Matriz toma de decision'!Z8</f>
        <v>1.8</v>
      </c>
      <c r="I44" s="99" t="str">
        <f>'Matriz toma de decision'!AA8</f>
        <v>€/m2</v>
      </c>
      <c r="J44" s="103" t="s">
        <v>71</v>
      </c>
      <c r="K44" s="101" t="s">
        <v>72</v>
      </c>
      <c r="L44" s="102" t="s">
        <v>73</v>
      </c>
      <c r="M44" s="108"/>
      <c r="N44" s="108"/>
      <c r="O44" s="108"/>
      <c r="P44" s="108"/>
      <c r="Q44" s="108"/>
      <c r="R44" s="108"/>
      <c r="S44" s="108"/>
      <c r="T44" s="108"/>
      <c r="U44" s="108"/>
      <c r="V44" s="108"/>
      <c r="W44" s="108"/>
      <c r="X44" s="108"/>
      <c r="Y44" s="108"/>
      <c r="Z44" s="108"/>
      <c r="AA44" s="108"/>
      <c r="AB44" s="108"/>
      <c r="AC44" s="108"/>
    </row>
    <row r="45" spans="1:29" s="109" customFormat="1" ht="23.25" hidden="1" customHeight="1" x14ac:dyDescent="0.25">
      <c r="A45" s="107">
        <v>7</v>
      </c>
      <c r="B45" s="94" t="str">
        <f>IF(AND(C9=A12,C10=A17,C16=A8,C17=A8,C18=A8,C5=A3),"Captación de agua de lluvia techo-embalse","")</f>
        <v/>
      </c>
      <c r="C45" s="96" t="str">
        <f>IF(B45="Captación de agua de lluvia techo-embalse",'Matriz toma de decision'!AK9,"")</f>
        <v/>
      </c>
      <c r="D45" s="137">
        <f>IF(B45="Captación de agua de lluvia techo-embalse",'Matriz toma de decision'!X9*Herramienta!C11,0)</f>
        <v>0</v>
      </c>
      <c r="E45" s="79" t="s">
        <v>82</v>
      </c>
      <c r="F45" s="79" t="s">
        <v>83</v>
      </c>
      <c r="G45" s="80" t="s">
        <v>84</v>
      </c>
      <c r="H45" s="98">
        <f>'Matriz toma de decision'!Z9</f>
        <v>7.1</v>
      </c>
      <c r="I45" s="99" t="str">
        <f>'Matriz toma de decision'!AA9</f>
        <v>€/m2</v>
      </c>
      <c r="J45" s="100" t="s">
        <v>77</v>
      </c>
      <c r="K45" s="101" t="s">
        <v>78</v>
      </c>
      <c r="L45" s="102" t="s">
        <v>85</v>
      </c>
      <c r="M45" s="108"/>
      <c r="N45" s="108"/>
      <c r="O45" s="108"/>
      <c r="P45" s="108"/>
      <c r="Q45" s="108"/>
      <c r="R45" s="108"/>
      <c r="S45" s="108"/>
      <c r="T45" s="108"/>
      <c r="U45" s="108"/>
      <c r="V45" s="108"/>
      <c r="W45" s="108"/>
      <c r="X45" s="108"/>
      <c r="Y45" s="108"/>
      <c r="Z45" s="108"/>
      <c r="AA45" s="108"/>
      <c r="AB45" s="108"/>
      <c r="AC45" s="108"/>
    </row>
    <row r="46" spans="1:29" s="109" customFormat="1" ht="25.5" hidden="1" customHeight="1" x14ac:dyDescent="0.25">
      <c r="A46" s="107">
        <v>8</v>
      </c>
      <c r="B46" s="95" t="str">
        <f>IF(AND(C10=A16,C19=A8,C20=A20,C13=A8,C6=A3,(OR(C23=A28,C23=A27))),"extracción agua subterránea acuífero aluvial","")</f>
        <v/>
      </c>
      <c r="C46" s="96" t="str">
        <f>IF(B46="extracción agua subterránea acuífero aluvial",'Matriz toma de decision'!AK10,"")</f>
        <v/>
      </c>
      <c r="D46" s="90">
        <f>IF(B46="Riego automatizado",'Matriz toma de decision'!X10*#REF!,0)</f>
        <v>0</v>
      </c>
      <c r="E46" s="79" t="s">
        <v>86</v>
      </c>
      <c r="F46" s="79" t="s">
        <v>87</v>
      </c>
      <c r="G46" s="83" t="s">
        <v>88</v>
      </c>
      <c r="H46" s="98" t="str">
        <f>'Matriz toma de decision'!Z10</f>
        <v>¿?</v>
      </c>
      <c r="I46" s="99">
        <f>'Matriz toma de decision'!AA10</f>
        <v>0</v>
      </c>
      <c r="J46" s="100" t="s">
        <v>89</v>
      </c>
      <c r="K46" s="101" t="s">
        <v>90</v>
      </c>
      <c r="L46" s="102" t="s">
        <v>91</v>
      </c>
      <c r="M46" s="108"/>
      <c r="N46" s="108"/>
      <c r="O46" s="108"/>
      <c r="P46" s="108"/>
      <c r="Q46" s="108"/>
      <c r="R46" s="108"/>
      <c r="S46" s="108"/>
      <c r="T46" s="108"/>
      <c r="U46" s="108"/>
      <c r="V46" s="108"/>
      <c r="W46" s="108"/>
      <c r="X46" s="108"/>
      <c r="Y46" s="108"/>
      <c r="Z46" s="108"/>
      <c r="AA46" s="108"/>
      <c r="AB46" s="108"/>
      <c r="AC46" s="108"/>
    </row>
    <row r="47" spans="1:29" s="109" customFormat="1" ht="25.5" hidden="1" customHeight="1" x14ac:dyDescent="0.25">
      <c r="A47" s="107">
        <v>9</v>
      </c>
      <c r="B47" s="94" t="str">
        <f>IF(AND(C10=A16,C19=A8,C20=A21,C13=A8,C23=A26,C6=A3),"extracción agua subterránea acuífero cuaternario","")</f>
        <v/>
      </c>
      <c r="C47" s="96" t="str">
        <f>IF(B47="extracción agua subterránea acuífero aluvial",'Matriz toma de decision'!AK11,"")</f>
        <v/>
      </c>
      <c r="D47" s="137"/>
      <c r="E47" s="79" t="s">
        <v>92</v>
      </c>
      <c r="F47" s="79" t="s">
        <v>93</v>
      </c>
      <c r="G47" s="83" t="s">
        <v>88</v>
      </c>
      <c r="H47" s="98" t="str">
        <f>'Matriz toma de decision'!Z11</f>
        <v>¿?</v>
      </c>
      <c r="I47" s="99">
        <f>'Matriz toma de decision'!AA11</f>
        <v>0</v>
      </c>
      <c r="J47" s="100" t="s">
        <v>89</v>
      </c>
      <c r="K47" s="101" t="s">
        <v>90</v>
      </c>
      <c r="L47" s="102" t="s">
        <v>91</v>
      </c>
      <c r="M47" s="108"/>
      <c r="N47" s="108"/>
      <c r="O47" s="108"/>
      <c r="P47" s="108"/>
      <c r="Q47" s="108"/>
      <c r="R47" s="108"/>
      <c r="S47" s="108"/>
      <c r="T47" s="108"/>
      <c r="U47" s="108"/>
      <c r="V47" s="108"/>
      <c r="W47" s="108"/>
      <c r="X47" s="108"/>
      <c r="Y47" s="108"/>
      <c r="Z47" s="108"/>
      <c r="AA47" s="108"/>
      <c r="AB47" s="108"/>
      <c r="AC47" s="108"/>
    </row>
    <row r="48" spans="1:29" s="109" customFormat="1" ht="23.25" hidden="1" customHeight="1" x14ac:dyDescent="0.25">
      <c r="A48" s="107">
        <v>10</v>
      </c>
      <c r="B48" s="138" t="str">
        <f>IF(AND(C10=A16,(OR(C9=A10,C9=A11)),C24=A30,C25=A32,C6=A3),"Uso de agua de depuradora","")</f>
        <v/>
      </c>
      <c r="C48" s="96" t="str">
        <f>IF(B48="Uso de agua de depuradora",'Matriz toma de decision'!AK12,"")</f>
        <v/>
      </c>
      <c r="D48" s="90">
        <f>IF(B48="Uso de agua de depuradora",'Matriz toma de decision'!X12*C12,0)</f>
        <v>0</v>
      </c>
      <c r="E48" s="79" t="s">
        <v>94</v>
      </c>
      <c r="F48" s="79" t="s">
        <v>95</v>
      </c>
      <c r="G48" s="80" t="s">
        <v>96</v>
      </c>
      <c r="H48" s="98">
        <f>'Matriz toma de decision'!Z12</f>
        <v>3.89</v>
      </c>
      <c r="I48" s="99" t="str">
        <f>'Matriz toma de decision'!AA12</f>
        <v>€/d</v>
      </c>
      <c r="J48" s="100" t="s">
        <v>97</v>
      </c>
      <c r="K48" s="101" t="s">
        <v>98</v>
      </c>
      <c r="L48" s="102" t="s">
        <v>99</v>
      </c>
      <c r="M48" s="108"/>
      <c r="N48" s="108"/>
      <c r="O48" s="108"/>
      <c r="P48" s="108"/>
      <c r="Q48" s="108"/>
      <c r="R48" s="108"/>
      <c r="S48" s="108"/>
      <c r="T48" s="108"/>
      <c r="U48" s="108"/>
      <c r="V48" s="108"/>
      <c r="W48" s="108"/>
      <c r="X48" s="108"/>
      <c r="Y48" s="108"/>
      <c r="Z48" s="108"/>
      <c r="AA48" s="108"/>
      <c r="AB48" s="108"/>
      <c r="AC48" s="108"/>
    </row>
    <row r="49" spans="1:29" s="109" customFormat="1" ht="21.75" customHeight="1" x14ac:dyDescent="0.25">
      <c r="A49" s="107">
        <v>11</v>
      </c>
      <c r="B49" s="94" t="str">
        <f>IF(OR(C13=A8,C3=VA3,C4=A3),"Uso de especies resilientes a la sequía y/o nativas del mediterráneo","")</f>
        <v>Uso de especies resilientes a la sequía y/o nativas del mediterráneo</v>
      </c>
      <c r="C49" s="96">
        <f>IF( B49= "Uso de especies resilientes a la sequía y/o nativas del mediterráneo",'Matriz toma de decision'!AK13,"")</f>
        <v>0.90909090909090906</v>
      </c>
      <c r="D49" s="158">
        <f>IF(B49="Uso de especies resilientes a la sequía y/o nativas del mediterráneo",'Matriz toma de decision'!X13*C11,0)</f>
        <v>675</v>
      </c>
      <c r="E49" s="159" t="s">
        <v>100</v>
      </c>
      <c r="F49" s="159" t="s">
        <v>101</v>
      </c>
      <c r="G49" s="160" t="s">
        <v>102</v>
      </c>
      <c r="H49" s="98">
        <f>'Matriz toma de decision'!Z13</f>
        <v>0</v>
      </c>
      <c r="I49" s="99" t="str">
        <f>'Matriz toma de decision'!AA13</f>
        <v>€/m2</v>
      </c>
      <c r="J49" s="100" t="s">
        <v>103</v>
      </c>
      <c r="K49" s="101" t="s">
        <v>104</v>
      </c>
      <c r="L49" s="102" t="s">
        <v>105</v>
      </c>
      <c r="M49" s="108"/>
      <c r="N49" s="108"/>
      <c r="O49" s="108"/>
      <c r="P49" s="108"/>
      <c r="Q49" s="108"/>
      <c r="R49" s="108"/>
      <c r="S49" s="108"/>
      <c r="T49" s="108"/>
      <c r="U49" s="108"/>
      <c r="V49" s="108"/>
      <c r="W49" s="108"/>
      <c r="X49" s="108"/>
      <c r="Y49" s="108"/>
      <c r="Z49" s="108"/>
      <c r="AA49" s="108"/>
      <c r="AB49" s="108"/>
      <c r="AC49" s="108"/>
    </row>
    <row r="50" spans="1:29" s="109" customFormat="1" ht="26.25" customHeight="1" x14ac:dyDescent="0.25">
      <c r="A50" s="107">
        <v>12</v>
      </c>
      <c r="B50" s="162" t="str">
        <f>IF(OR(C8=A8,C8=A9,C3=A3,C4=A3,C5=A3),"Aumento de la capacidad de retención del suelo","")</f>
        <v>Aumento de la capacidad de retención del suelo</v>
      </c>
      <c r="C50" s="96">
        <f>IF(B50="Aumento de la capacidad de retención del suelo",'Matriz toma de decision'!AK14,"")</f>
        <v>1</v>
      </c>
      <c r="D50" s="158">
        <f>IF(B50="Aumento de la capacidad de retención del suelo",'Matriz toma de decision'!X14*C11,0)</f>
        <v>2475</v>
      </c>
      <c r="E50" s="159" t="s">
        <v>106</v>
      </c>
      <c r="F50" s="159" t="s">
        <v>107</v>
      </c>
      <c r="G50" s="160" t="s">
        <v>108</v>
      </c>
      <c r="H50" s="98">
        <f>'Matriz toma de decision'!Z14</f>
        <v>0</v>
      </c>
      <c r="I50" s="99" t="str">
        <f>'Matriz toma de decision'!AA14</f>
        <v>€/m2</v>
      </c>
      <c r="J50" s="100" t="s">
        <v>109</v>
      </c>
      <c r="K50" s="101" t="s">
        <v>110</v>
      </c>
      <c r="L50" s="102" t="s">
        <v>111</v>
      </c>
      <c r="M50" s="108"/>
      <c r="N50" s="108"/>
      <c r="O50" s="108"/>
      <c r="P50" s="108"/>
      <c r="Q50" s="108"/>
      <c r="R50" s="108"/>
      <c r="S50" s="108"/>
      <c r="T50" s="108"/>
      <c r="U50" s="108"/>
      <c r="V50" s="108"/>
      <c r="W50" s="108"/>
      <c r="X50" s="108"/>
      <c r="Y50" s="108"/>
      <c r="Z50" s="108"/>
      <c r="AA50" s="108"/>
      <c r="AB50" s="108"/>
      <c r="AC50" s="108"/>
    </row>
    <row r="51" spans="1:29" s="109" customFormat="1" ht="18" hidden="1" customHeight="1" x14ac:dyDescent="0.25">
      <c r="A51" s="107">
        <v>13</v>
      </c>
      <c r="B51" s="94" t="str">
        <f>IF(AND(C21=A23,C22=A24,C5=A3),"Canalización de agua superficial de cuerpo de agua","")</f>
        <v/>
      </c>
      <c r="C51" s="96" t="str">
        <f>IF(B51="Canalización de agua superficial de cuerpo de agua",'Matriz toma de decision'!AK15,"")</f>
        <v/>
      </c>
      <c r="D51" s="137">
        <f>IF(B51="Canalización de agua superficial de cuerpo de agua",'Matriz toma de decision'!X15*C11,0)</f>
        <v>0</v>
      </c>
      <c r="E51" s="79" t="s">
        <v>112</v>
      </c>
      <c r="F51" s="79" t="s">
        <v>113</v>
      </c>
      <c r="G51" s="80" t="s">
        <v>114</v>
      </c>
      <c r="H51" s="98">
        <f>'Matriz toma de decision'!Z15</f>
        <v>0.1</v>
      </c>
      <c r="I51" s="99" t="str">
        <f>'Matriz toma de decision'!AA15</f>
        <v>€/m2</v>
      </c>
      <c r="J51" s="100" t="s">
        <v>115</v>
      </c>
      <c r="K51" s="101" t="s">
        <v>116</v>
      </c>
      <c r="L51" s="102" t="s">
        <v>117</v>
      </c>
      <c r="M51" s="108"/>
      <c r="N51" s="108"/>
      <c r="O51" s="108"/>
      <c r="P51" s="108"/>
      <c r="Q51" s="108"/>
      <c r="R51" s="108"/>
      <c r="S51" s="108"/>
      <c r="T51" s="108"/>
      <c r="U51" s="108"/>
      <c r="V51" s="108"/>
      <c r="W51" s="108"/>
      <c r="X51" s="108"/>
      <c r="Y51" s="108"/>
      <c r="Z51" s="108"/>
      <c r="AA51" s="108"/>
      <c r="AB51" s="108"/>
      <c r="AC51" s="108"/>
    </row>
    <row r="52" spans="1:29" s="109" customFormat="1" ht="19.5" hidden="1" customHeight="1" x14ac:dyDescent="0.25">
      <c r="A52" s="107">
        <v>14</v>
      </c>
      <c r="B52" s="94" t="str">
        <f>IF(AND(C9=A12,C10=A17,C14=A8,C3=A3,C4=A3,C5=A3),"small plots of green","")</f>
        <v/>
      </c>
      <c r="C52" s="96" t="str">
        <f>IF(B52="small plots of green",'Matriz toma de decision'!AK16,"")</f>
        <v/>
      </c>
      <c r="D52" s="137">
        <f>IF(B52="small plots of green",'Matriz toma de decision'!X16*C11,0)</f>
        <v>0</v>
      </c>
      <c r="E52" s="79" t="s">
        <v>118</v>
      </c>
      <c r="F52" s="79" t="s">
        <v>119</v>
      </c>
      <c r="G52" s="80" t="s">
        <v>120</v>
      </c>
      <c r="H52" s="98"/>
      <c r="I52" s="99">
        <f>'Matriz toma de decision'!AA16</f>
        <v>0</v>
      </c>
      <c r="J52" s="100" t="s">
        <v>121</v>
      </c>
      <c r="K52" s="101"/>
      <c r="L52" s="102"/>
      <c r="M52" s="108"/>
      <c r="N52" s="108"/>
      <c r="O52" s="108"/>
      <c r="P52" s="108"/>
      <c r="Q52" s="108"/>
      <c r="R52" s="108"/>
      <c r="S52" s="108"/>
      <c r="T52" s="108"/>
      <c r="U52" s="108"/>
      <c r="V52" s="108"/>
      <c r="W52" s="108"/>
      <c r="X52" s="108"/>
      <c r="Y52" s="108"/>
      <c r="Z52" s="108"/>
      <c r="AA52" s="108"/>
      <c r="AB52" s="108"/>
      <c r="AC52" s="108"/>
    </row>
    <row r="53" spans="1:29" s="109" customFormat="1" ht="18" hidden="1" customHeight="1" x14ac:dyDescent="0.25">
      <c r="A53" s="107">
        <v>15</v>
      </c>
      <c r="B53" s="94" t="str">
        <f>IF(AND(C9=A10,C6=A3),"Humedales urbanos de flujo Vertical/Horizontal","")</f>
        <v/>
      </c>
      <c r="C53" s="96" t="str">
        <f>IF(B53="Humedales urbanos de flujo Vertical/Horizontal",'Matriz toma de decision'!AK17,"")</f>
        <v/>
      </c>
      <c r="D53" s="90">
        <f>IF(B53="Humedales urbanos de flujo Vertical/Horizontal",'Matriz toma de decision'!X17*C11,0)</f>
        <v>0</v>
      </c>
      <c r="E53" s="79" t="s">
        <v>122</v>
      </c>
      <c r="F53" s="79" t="s">
        <v>123</v>
      </c>
      <c r="G53" s="86" t="s">
        <v>124</v>
      </c>
      <c r="H53" s="98">
        <f>'Matriz toma de decision'!Z17</f>
        <v>3</v>
      </c>
      <c r="I53" s="99" t="str">
        <f>'Matriz toma de decision'!AA17</f>
        <v>€/m2</v>
      </c>
      <c r="J53" s="100" t="s">
        <v>125</v>
      </c>
      <c r="K53" s="101" t="s">
        <v>126</v>
      </c>
      <c r="L53" s="102" t="s">
        <v>127</v>
      </c>
      <c r="M53" s="108"/>
      <c r="N53" s="108"/>
      <c r="O53" s="108"/>
      <c r="P53" s="108"/>
      <c r="Q53" s="108"/>
      <c r="R53" s="108"/>
      <c r="S53" s="108"/>
      <c r="T53" s="108"/>
      <c r="U53" s="108"/>
      <c r="V53" s="108"/>
      <c r="W53" s="108"/>
      <c r="X53" s="108"/>
      <c r="Y53" s="108"/>
      <c r="Z53" s="108"/>
      <c r="AA53" s="108"/>
      <c r="AB53" s="108"/>
      <c r="AC53" s="108"/>
    </row>
    <row r="54" spans="1:29" s="109" customFormat="1" ht="24.75" customHeight="1" x14ac:dyDescent="0.25">
      <c r="A54" s="107">
        <v>16</v>
      </c>
      <c r="B54" s="94" t="str">
        <f>IF(AND(C15=A18,C5=A3,(OR(C23=A28,C23=A27))),"canales de captación temporal","")</f>
        <v>canales de captación temporal</v>
      </c>
      <c r="C54" s="96">
        <f>IF(B54="canales de captación temporal",'Matriz toma de decision'!AK18,"")</f>
        <v>0.63636363636363635</v>
      </c>
      <c r="D54" s="158">
        <f>IF(B54="canales de captación temporal",'Matriz toma de decision'!X18*C11,0)</f>
        <v>13500</v>
      </c>
      <c r="E54" s="101" t="s">
        <v>128</v>
      </c>
      <c r="F54" s="101" t="s">
        <v>129</v>
      </c>
      <c r="G54" s="161" t="s">
        <v>130</v>
      </c>
      <c r="H54" s="98">
        <f>'Matriz toma de decision'!Z18</f>
        <v>0.74</v>
      </c>
      <c r="I54" s="99" t="str">
        <f>'Matriz toma de decision'!AA18</f>
        <v>€/m2</v>
      </c>
      <c r="J54" s="100" t="s">
        <v>131</v>
      </c>
      <c r="K54" s="101" t="s">
        <v>98</v>
      </c>
      <c r="L54" s="102" t="s">
        <v>132</v>
      </c>
      <c r="M54" s="108"/>
      <c r="N54" s="108"/>
      <c r="O54" s="108"/>
      <c r="P54" s="108"/>
      <c r="Q54" s="108"/>
      <c r="R54" s="108"/>
      <c r="S54" s="108"/>
      <c r="T54" s="108"/>
      <c r="U54" s="108"/>
      <c r="V54" s="108"/>
      <c r="W54" s="108"/>
      <c r="X54" s="108"/>
      <c r="Y54" s="108"/>
      <c r="Z54" s="108"/>
      <c r="AA54" s="108"/>
      <c r="AB54" s="108"/>
      <c r="AC54" s="108"/>
    </row>
    <row r="55" spans="1:29" s="109" customFormat="1" ht="27" customHeight="1" x14ac:dyDescent="0.25">
      <c r="A55" s="107">
        <v>17</v>
      </c>
      <c r="B55" s="138" t="str">
        <f>IF(OR(C13=A8,C3=A3,C4=A3),"Campos de hierba y prados de flores","")</f>
        <v>Campos de hierba y prados de flores</v>
      </c>
      <c r="C55" s="96">
        <f>IF(B55="Campos de hierba y prados de flores",'Matriz toma de decision'!AK19,"")</f>
        <v>0.90909090909090906</v>
      </c>
      <c r="D55" s="158">
        <f>IF(B55="Campos de hierba y prados de flores",'Matriz toma de decision'!X19*C11,0)</f>
        <v>675</v>
      </c>
      <c r="E55" s="159" t="s">
        <v>133</v>
      </c>
      <c r="F55" s="159" t="s">
        <v>134</v>
      </c>
      <c r="G55" s="160" t="s">
        <v>135</v>
      </c>
      <c r="H55" s="98">
        <f>'Matriz toma de decision'!Z19</f>
        <v>0</v>
      </c>
      <c r="I55" s="99" t="str">
        <f>'Matriz toma de decision'!AA19</f>
        <v>€/m2</v>
      </c>
      <c r="J55" s="100" t="s">
        <v>105</v>
      </c>
      <c r="K55" s="101" t="s">
        <v>136</v>
      </c>
      <c r="L55" s="102"/>
      <c r="M55" s="108"/>
      <c r="N55" s="108"/>
      <c r="O55" s="108"/>
      <c r="P55" s="108"/>
      <c r="Q55" s="108"/>
      <c r="R55" s="108"/>
      <c r="S55" s="108"/>
      <c r="T55" s="108"/>
      <c r="U55" s="108"/>
      <c r="V55" s="108"/>
      <c r="W55" s="108"/>
      <c r="X55" s="108"/>
      <c r="Y55" s="108"/>
      <c r="Z55" s="108"/>
      <c r="AA55" s="108"/>
      <c r="AB55" s="108"/>
      <c r="AC55" s="108"/>
    </row>
    <row r="56" spans="1:29" s="109" customFormat="1" ht="18" hidden="1" customHeight="1" x14ac:dyDescent="0.25">
      <c r="A56" s="107">
        <v>18</v>
      </c>
      <c r="B56" s="94" t="str">
        <f>IF(AND(OR(C9=A11,C9=A10),C10=A16,C5=A3),"Drenajes y tanques de infiltración - sistemas de almacenamiento temporal","")</f>
        <v/>
      </c>
      <c r="C56" s="96" t="str">
        <f>IF(B56="Drenajes y tanques de infiltración - sistemas de almacenamiento temporal",'Matriz toma de decision'!AK20,"")</f>
        <v/>
      </c>
      <c r="D56" s="90">
        <f>IF(B56="Drenajes y tanques de infiltración - sistemas de almacenamiento temporal",'Matriz toma de decision'!X20*C11,0)</f>
        <v>0</v>
      </c>
      <c r="E56" s="79" t="s">
        <v>137</v>
      </c>
      <c r="F56" s="79" t="s">
        <v>138</v>
      </c>
      <c r="G56" s="80" t="s">
        <v>139</v>
      </c>
      <c r="H56" s="98">
        <f>'Matriz toma de decision'!Z20</f>
        <v>5.3</v>
      </c>
      <c r="I56" s="99" t="str">
        <f>'Matriz toma de decision'!AA20</f>
        <v>€/m2</v>
      </c>
      <c r="J56" s="100" t="s">
        <v>140</v>
      </c>
      <c r="K56" s="101" t="s">
        <v>98</v>
      </c>
      <c r="L56" s="102" t="s">
        <v>141</v>
      </c>
      <c r="M56" s="108"/>
      <c r="N56" s="108"/>
      <c r="O56" s="108"/>
      <c r="P56" s="108"/>
      <c r="Q56" s="108"/>
      <c r="R56" s="108"/>
      <c r="S56" s="108"/>
      <c r="T56" s="108"/>
      <c r="U56" s="108"/>
      <c r="V56" s="108"/>
      <c r="W56" s="108"/>
      <c r="X56" s="108"/>
      <c r="Y56" s="108"/>
      <c r="Z56" s="108"/>
      <c r="AA56" s="108"/>
      <c r="AB56" s="108"/>
      <c r="AC56" s="108"/>
    </row>
    <row r="57" spans="1:29" s="109" customFormat="1" ht="21.75" hidden="1" customHeight="1" x14ac:dyDescent="0.25">
      <c r="A57" s="107">
        <v>19</v>
      </c>
      <c r="B57" s="94" t="str">
        <f>IF(AND(OR(C10=A16,C10=A17),C3=A3,C4=A3,C5=A3),"Disminución evapotransipiración del suelo","")</f>
        <v/>
      </c>
      <c r="C57" s="96" t="str">
        <f>IF(B57="Disminución evapotransipiración del suelo",'Matriz toma de decision'!AK21,"")</f>
        <v/>
      </c>
      <c r="D57" s="90">
        <f>IF(B57="Disminución evapotransipiración del suelo",'Matriz toma de decision'!X21*C11,0)</f>
        <v>0</v>
      </c>
      <c r="E57" s="81" t="s">
        <v>142</v>
      </c>
      <c r="F57" s="81" t="s">
        <v>143</v>
      </c>
      <c r="G57" s="82" t="s">
        <v>144</v>
      </c>
      <c r="H57" s="98"/>
      <c r="I57" s="99">
        <f>'Matriz toma de decision'!AA21</f>
        <v>0</v>
      </c>
      <c r="J57" s="100" t="s">
        <v>145</v>
      </c>
      <c r="K57" s="101" t="s">
        <v>146</v>
      </c>
      <c r="L57" s="102"/>
      <c r="M57" s="108"/>
      <c r="N57" s="108"/>
      <c r="O57" s="108"/>
      <c r="P57" s="108"/>
      <c r="Q57" s="108"/>
      <c r="R57" s="108"/>
      <c r="S57" s="108"/>
      <c r="T57" s="108"/>
      <c r="U57" s="108"/>
      <c r="V57" s="108"/>
      <c r="W57" s="108"/>
      <c r="X57" s="108"/>
      <c r="Y57" s="108"/>
      <c r="Z57" s="108"/>
      <c r="AA57" s="108"/>
      <c r="AB57" s="108"/>
      <c r="AC57" s="108"/>
    </row>
    <row r="58" spans="1:29" s="109" customFormat="1" ht="21.75" hidden="1" customHeight="1" x14ac:dyDescent="0.25">
      <c r="A58" s="107">
        <v>20</v>
      </c>
      <c r="B58" s="94" t="str">
        <f>IF(AND(C8=A8,C10=A16,C5=A3,C6=A3),"Almacenamiento de agua pluvial debajo de edificios","")</f>
        <v/>
      </c>
      <c r="C58" s="96" t="str">
        <f>IF(B58="Almacenamiento de agua pluvial debajo de edificios",'Matriz toma de decision'!AK22,"")</f>
        <v/>
      </c>
      <c r="D58" s="137">
        <f>IF(B58="Almacenamiento de agua pluvial debajo de edificios",'Matriz toma de decision'!X22*C11,0)</f>
        <v>0</v>
      </c>
      <c r="E58" s="79" t="s">
        <v>147</v>
      </c>
      <c r="F58" s="79" t="s">
        <v>148</v>
      </c>
      <c r="G58" s="80" t="s">
        <v>149</v>
      </c>
      <c r="H58" s="98">
        <f>'Matriz toma de decision'!Z22</f>
        <v>7.1</v>
      </c>
      <c r="I58" s="99" t="str">
        <f>'Matriz toma de decision'!AA22</f>
        <v>€/m2</v>
      </c>
      <c r="J58" s="100" t="s">
        <v>150</v>
      </c>
      <c r="K58" s="101" t="s">
        <v>151</v>
      </c>
      <c r="L58" s="102" t="s">
        <v>152</v>
      </c>
      <c r="M58" s="108"/>
      <c r="N58" s="108"/>
      <c r="O58" s="108"/>
      <c r="P58" s="108"/>
      <c r="Q58" s="108"/>
      <c r="R58" s="108"/>
      <c r="S58" s="108"/>
      <c r="T58" s="108"/>
      <c r="U58" s="108"/>
      <c r="V58" s="108"/>
      <c r="W58" s="108"/>
      <c r="X58" s="108"/>
      <c r="Y58" s="108"/>
      <c r="Z58" s="108"/>
      <c r="AA58" s="108"/>
      <c r="AB58" s="108"/>
      <c r="AC58" s="108"/>
    </row>
    <row r="59" spans="1:29" s="109" customFormat="1" ht="19.5" hidden="1" customHeight="1" x14ac:dyDescent="0.25">
      <c r="A59" s="107">
        <v>21</v>
      </c>
      <c r="B59" s="94" t="str">
        <f>IF(AND(C14=A8,C3=A3,C4=A3,C5=A3),"Franjas de infiltración urbana","")</f>
        <v/>
      </c>
      <c r="C59" s="96" t="str">
        <f>IF(B59="Franjas de infiltración urbana",'Matriz toma de decision'!AK23,"")</f>
        <v/>
      </c>
      <c r="D59" s="137">
        <f>IF(B59="Franjas de infiltración urbana",'Matriz toma de decision'!X23*C11,0)</f>
        <v>0</v>
      </c>
      <c r="E59" s="79" t="s">
        <v>153</v>
      </c>
      <c r="F59" s="79" t="s">
        <v>154</v>
      </c>
      <c r="G59" s="80" t="s">
        <v>155</v>
      </c>
      <c r="H59" s="98">
        <f>'Matriz toma de decision'!Z23</f>
        <v>0.5</v>
      </c>
      <c r="I59" s="99" t="str">
        <f>'Matriz toma de decision'!AA23</f>
        <v>€/m2</v>
      </c>
      <c r="J59" s="100" t="s">
        <v>156</v>
      </c>
      <c r="K59" s="101" t="s">
        <v>157</v>
      </c>
      <c r="L59" s="102"/>
      <c r="M59" s="108"/>
      <c r="N59" s="108"/>
      <c r="O59" s="108"/>
      <c r="P59" s="108"/>
      <c r="Q59" s="108"/>
      <c r="R59" s="108"/>
      <c r="S59" s="108"/>
      <c r="T59" s="108"/>
      <c r="U59" s="108"/>
      <c r="V59" s="108"/>
      <c r="W59" s="108"/>
      <c r="X59" s="108"/>
      <c r="Y59" s="108"/>
      <c r="Z59" s="108"/>
      <c r="AA59" s="108"/>
      <c r="AB59" s="108"/>
      <c r="AC59" s="108"/>
    </row>
    <row r="60" spans="1:29" s="109" customFormat="1" ht="16.5" hidden="1" customHeight="1" x14ac:dyDescent="0.25">
      <c r="A60" s="107">
        <v>22</v>
      </c>
      <c r="B60" s="94" t="str">
        <f>IF(AND(C8=A8,C9=A12,C3=A3,C4=A3),"Water roofs","")</f>
        <v/>
      </c>
      <c r="C60" s="96" t="str">
        <f>IF(B60="Water roofs",'Matriz toma de decision'!AK24,"")</f>
        <v/>
      </c>
      <c r="D60" s="137">
        <f>IF(B60="Water roofs",'Matriz toma de decision'!X24*C11,0)</f>
        <v>0</v>
      </c>
      <c r="E60" s="79" t="s">
        <v>158</v>
      </c>
      <c r="F60" s="79" t="s">
        <v>159</v>
      </c>
      <c r="G60" s="80" t="s">
        <v>160</v>
      </c>
      <c r="H60" s="98"/>
      <c r="I60" s="99" t="str">
        <f>'Matriz toma de decision'!AA24</f>
        <v>€/m2</v>
      </c>
      <c r="J60" s="100" t="s">
        <v>161</v>
      </c>
      <c r="K60" s="101" t="s">
        <v>162</v>
      </c>
      <c r="L60" s="102" t="s">
        <v>163</v>
      </c>
      <c r="M60" s="108"/>
      <c r="N60" s="108"/>
      <c r="O60" s="108"/>
      <c r="P60" s="108"/>
      <c r="Q60" s="108"/>
      <c r="R60" s="108"/>
      <c r="S60" s="108"/>
      <c r="T60" s="108"/>
      <c r="U60" s="108"/>
      <c r="V60" s="108"/>
      <c r="W60" s="108"/>
      <c r="X60" s="108"/>
      <c r="Y60" s="108"/>
      <c r="Z60" s="108"/>
      <c r="AA60" s="108"/>
      <c r="AB60" s="108"/>
      <c r="AC60" s="108"/>
    </row>
    <row r="61" spans="1:29" s="109" customFormat="1" ht="18.75" hidden="1" customHeight="1" x14ac:dyDescent="0.25">
      <c r="A61" s="107">
        <v>23</v>
      </c>
      <c r="B61" s="94" t="str">
        <f>IF(AND(OR(C10=A16,C10=A17),C6=A3),"Riego automatizado","")</f>
        <v/>
      </c>
      <c r="C61" s="96" t="str">
        <f>IF(B61="Riego automatizado",'Matriz toma de decision'!AK25,"")</f>
        <v/>
      </c>
      <c r="D61" s="90">
        <f>IF(B61="Riego automatizado",'Matriz toma de decision'!X25*C11,0)</f>
        <v>0</v>
      </c>
      <c r="E61" s="84" t="s">
        <v>164</v>
      </c>
      <c r="F61" s="84" t="s">
        <v>165</v>
      </c>
      <c r="G61" s="85" t="s">
        <v>166</v>
      </c>
      <c r="H61" s="98" t="str">
        <f>'Matriz toma de decision'!Z25</f>
        <v>¿?</v>
      </c>
      <c r="I61" s="99">
        <f>'Matriz toma de decision'!AA25</f>
        <v>0</v>
      </c>
      <c r="J61" s="100" t="s">
        <v>167</v>
      </c>
      <c r="K61" s="101" t="s">
        <v>162</v>
      </c>
      <c r="L61" s="102" t="s">
        <v>168</v>
      </c>
      <c r="M61" s="108"/>
      <c r="N61" s="108"/>
      <c r="O61" s="108"/>
      <c r="P61" s="108"/>
      <c r="Q61" s="108"/>
      <c r="R61" s="108"/>
      <c r="S61" s="108"/>
      <c r="T61" s="108"/>
      <c r="U61" s="108"/>
      <c r="V61" s="108"/>
      <c r="W61" s="108"/>
      <c r="X61" s="108"/>
      <c r="Y61" s="108"/>
      <c r="Z61" s="108"/>
      <c r="AA61" s="108"/>
      <c r="AB61" s="108"/>
      <c r="AC61" s="108"/>
    </row>
    <row r="62" spans="1:29" s="109" customFormat="1" ht="21" hidden="1" customHeight="1" x14ac:dyDescent="0.25">
      <c r="A62" s="107">
        <v>24</v>
      </c>
      <c r="B62" s="94" t="str">
        <f>IF(AND(OR(B9=A11,B9=A12),C13=A8,C5=A3),"tree cell","")</f>
        <v/>
      </c>
      <c r="C62" s="96" t="str">
        <f>IF(B62="tree cell",'Matriz toma de decision'!AK26,"")</f>
        <v/>
      </c>
      <c r="D62" s="137">
        <f>IF(B62="tree cell",'Matriz toma de decision'!X26*C11,0)</f>
        <v>0</v>
      </c>
      <c r="E62" s="79" t="s">
        <v>169</v>
      </c>
      <c r="F62" s="79" t="s">
        <v>170</v>
      </c>
      <c r="G62" s="80" t="s">
        <v>171</v>
      </c>
      <c r="H62" s="98">
        <f>'Matriz toma de decision'!Z26</f>
        <v>1.1614110326269762</v>
      </c>
      <c r="I62" s="99" t="str">
        <f>'Matriz toma de decision'!AA26</f>
        <v>€/m2/mes</v>
      </c>
      <c r="J62" s="100" t="s">
        <v>172</v>
      </c>
      <c r="K62" s="101" t="s">
        <v>173</v>
      </c>
      <c r="L62" s="102" t="s">
        <v>174</v>
      </c>
      <c r="M62" s="108"/>
      <c r="N62" s="108"/>
      <c r="O62" s="108"/>
      <c r="P62" s="108"/>
      <c r="Q62" s="108"/>
      <c r="R62" s="108"/>
      <c r="S62" s="108"/>
      <c r="T62" s="108"/>
      <c r="U62" s="108"/>
      <c r="V62" s="108"/>
      <c r="W62" s="108"/>
      <c r="X62" s="108"/>
      <c r="Y62" s="108"/>
      <c r="Z62" s="108"/>
      <c r="AA62" s="108"/>
      <c r="AB62" s="108"/>
      <c r="AC62" s="108"/>
    </row>
    <row r="63" spans="1:29" s="109" customFormat="1" ht="1.5" hidden="1" customHeight="1" thickBot="1" x14ac:dyDescent="0.3">
      <c r="A63" s="107">
        <v>25</v>
      </c>
      <c r="B63" s="97" t="str">
        <f>IF(AND(OR(C8=A8,C9=A10),C5=A3,C6=A3),"Reconstruir sistemas de alcantarillado combinados","")</f>
        <v/>
      </c>
      <c r="C63" s="96" t="str">
        <f>IF(B63="Reconstruir sistemas de alcantarillado combinados",'Matriz toma de decision'!AK27,"")</f>
        <v/>
      </c>
      <c r="D63" s="90">
        <f>IF(B63="Reconstruir sistemas de alcantarillado combinados",'Matriz toma de decision'!X27*C11,0)</f>
        <v>0</v>
      </c>
      <c r="E63" s="87" t="s">
        <v>175</v>
      </c>
      <c r="F63" s="87" t="s">
        <v>176</v>
      </c>
      <c r="G63" s="88" t="s">
        <v>177</v>
      </c>
      <c r="H63" s="104"/>
      <c r="I63" s="99">
        <f>'Matriz toma de decision'!AA27</f>
        <v>0</v>
      </c>
      <c r="J63" s="104" t="s">
        <v>178</v>
      </c>
      <c r="K63" s="105" t="s">
        <v>179</v>
      </c>
      <c r="L63" s="106" t="s">
        <v>180</v>
      </c>
      <c r="M63" s="108"/>
      <c r="N63" s="108"/>
      <c r="O63" s="108"/>
      <c r="P63" s="108"/>
      <c r="Q63" s="108"/>
      <c r="R63" s="108"/>
      <c r="S63" s="108"/>
      <c r="T63" s="108"/>
      <c r="U63" s="108"/>
      <c r="V63" s="108"/>
      <c r="W63" s="108"/>
      <c r="X63" s="108"/>
      <c r="Y63" s="108"/>
      <c r="Z63" s="108"/>
      <c r="AA63" s="108"/>
      <c r="AB63" s="108"/>
      <c r="AC63" s="108"/>
    </row>
    <row r="64" spans="1:29" s="50" customFormat="1" ht="15.75" customHeight="1" x14ac:dyDescent="0.4">
      <c r="A64" s="51"/>
      <c r="B64" s="52" t="s">
        <v>231</v>
      </c>
      <c r="C64" s="49"/>
      <c r="D64" s="111"/>
      <c r="E64" s="49"/>
      <c r="F64" s="49"/>
      <c r="G64" s="49"/>
      <c r="H64" s="48"/>
      <c r="I64" s="48"/>
      <c r="J64" s="49"/>
      <c r="K64" s="49"/>
      <c r="L64" s="49"/>
      <c r="M64" s="49"/>
      <c r="N64" s="49"/>
      <c r="O64" s="49"/>
      <c r="P64" s="49"/>
      <c r="Q64" s="49"/>
      <c r="R64" s="49"/>
      <c r="S64" s="49"/>
      <c r="T64" s="49"/>
      <c r="U64" s="49"/>
      <c r="V64" s="49"/>
      <c r="W64" s="49"/>
      <c r="X64" s="49"/>
      <c r="Y64" s="49"/>
      <c r="Z64" s="49"/>
      <c r="AA64" s="49"/>
      <c r="AB64" s="49"/>
      <c r="AC64" s="49"/>
    </row>
    <row r="65" spans="1:29" s="50" customFormat="1" ht="15.75" customHeight="1" x14ac:dyDescent="0.4">
      <c r="A65" s="51"/>
      <c r="B65" s="52" t="s">
        <v>282</v>
      </c>
      <c r="C65" s="49"/>
      <c r="D65" s="110"/>
      <c r="E65" s="49"/>
      <c r="F65" s="49"/>
      <c r="G65" s="49"/>
      <c r="H65" s="48"/>
      <c r="I65" s="48"/>
      <c r="J65" s="49"/>
      <c r="K65" s="49"/>
      <c r="L65" s="49"/>
      <c r="M65" s="49"/>
      <c r="N65" s="49"/>
      <c r="O65" s="49"/>
      <c r="P65" s="49"/>
      <c r="Q65" s="49"/>
      <c r="R65" s="49"/>
      <c r="S65" s="49"/>
      <c r="T65" s="49"/>
      <c r="U65" s="49"/>
      <c r="V65" s="49"/>
      <c r="W65" s="49"/>
      <c r="X65" s="49"/>
      <c r="Y65" s="49"/>
      <c r="Z65" s="49"/>
      <c r="AA65" s="49"/>
      <c r="AB65" s="49"/>
      <c r="AC65" s="49"/>
    </row>
    <row r="66" spans="1:29" ht="15.75" customHeight="1" x14ac:dyDescent="0.4">
      <c r="A66" s="28"/>
      <c r="B66" s="23"/>
      <c r="C66" s="23"/>
      <c r="D66" s="110"/>
      <c r="E66" s="1"/>
      <c r="F66" s="1"/>
      <c r="G66" s="1"/>
      <c r="H66" s="2"/>
      <c r="I66" s="2"/>
      <c r="J66" s="1"/>
      <c r="K66" s="1"/>
      <c r="L66" s="1"/>
      <c r="M66" s="1"/>
      <c r="N66" s="1"/>
      <c r="O66" s="1"/>
      <c r="P66" s="1"/>
      <c r="Q66" s="1"/>
      <c r="R66" s="1"/>
      <c r="S66" s="1"/>
      <c r="T66" s="1"/>
      <c r="U66" s="1"/>
      <c r="V66" s="1"/>
      <c r="W66" s="1"/>
      <c r="X66" s="1"/>
      <c r="Y66" s="1"/>
      <c r="Z66" s="1"/>
      <c r="AA66" s="1"/>
      <c r="AB66" s="1"/>
      <c r="AC66" s="1"/>
    </row>
    <row r="67" spans="1:29" ht="26.25" x14ac:dyDescent="0.4">
      <c r="A67" s="28"/>
      <c r="B67" s="23"/>
      <c r="C67" s="37"/>
      <c r="D67" s="110"/>
      <c r="E67" s="1"/>
      <c r="F67" s="1"/>
      <c r="G67" s="1"/>
      <c r="H67" s="2"/>
      <c r="I67" s="2"/>
      <c r="J67" s="1"/>
      <c r="K67" s="1"/>
      <c r="L67" s="1"/>
      <c r="M67" s="1"/>
      <c r="N67" s="1"/>
      <c r="O67" s="1"/>
      <c r="P67" s="1"/>
      <c r="Q67" s="1"/>
      <c r="R67" s="1"/>
      <c r="S67" s="1"/>
      <c r="T67" s="1"/>
      <c r="U67" s="1"/>
      <c r="V67" s="1"/>
      <c r="W67" s="1"/>
      <c r="X67" s="1"/>
      <c r="Y67" s="1"/>
      <c r="Z67" s="1"/>
      <c r="AA67" s="1"/>
      <c r="AB67" s="1"/>
      <c r="AC67" s="1"/>
    </row>
    <row r="68" spans="1:29" ht="26.25" x14ac:dyDescent="0.4">
      <c r="A68" s="28"/>
      <c r="B68" s="23"/>
      <c r="C68" s="41"/>
      <c r="D68" s="110"/>
      <c r="E68" s="1"/>
      <c r="F68" s="1"/>
      <c r="G68" s="1"/>
      <c r="H68" s="2"/>
      <c r="I68" s="2"/>
      <c r="J68" s="1"/>
      <c r="K68" s="1"/>
      <c r="L68" s="1"/>
      <c r="M68" s="1"/>
      <c r="N68" s="1"/>
      <c r="O68" s="1"/>
      <c r="P68" s="1"/>
      <c r="Q68" s="1"/>
      <c r="R68" s="1"/>
      <c r="S68" s="1"/>
      <c r="T68" s="1"/>
      <c r="U68" s="1"/>
      <c r="V68" s="1"/>
      <c r="W68" s="1"/>
      <c r="X68" s="1"/>
      <c r="Y68" s="1"/>
      <c r="Z68" s="1"/>
      <c r="AA68" s="1"/>
      <c r="AB68" s="1"/>
      <c r="AC68" s="1"/>
    </row>
    <row r="69" spans="1:29" ht="26.25" x14ac:dyDescent="0.4">
      <c r="A69" s="28"/>
      <c r="B69" s="23"/>
      <c r="C69" s="39"/>
      <c r="D69" s="110"/>
      <c r="E69" s="1"/>
      <c r="F69" s="1"/>
      <c r="G69" s="1"/>
      <c r="H69" s="2"/>
      <c r="I69" s="2"/>
      <c r="J69" s="1"/>
      <c r="K69" s="1"/>
      <c r="L69" s="1"/>
      <c r="M69" s="1"/>
      <c r="N69" s="1"/>
      <c r="O69" s="1"/>
      <c r="P69" s="1"/>
      <c r="Q69" s="1"/>
      <c r="R69" s="1"/>
      <c r="S69" s="1"/>
      <c r="T69" s="1"/>
      <c r="U69" s="1"/>
      <c r="V69" s="1"/>
      <c r="W69" s="1"/>
      <c r="X69" s="1"/>
      <c r="Y69" s="1"/>
      <c r="Z69" s="1"/>
      <c r="AA69" s="1"/>
      <c r="AB69" s="1"/>
      <c r="AC69" s="1"/>
    </row>
    <row r="70" spans="1:29" ht="26.25" x14ac:dyDescent="0.4">
      <c r="A70" s="28"/>
      <c r="B70" s="23"/>
      <c r="C70" s="40"/>
      <c r="D70" s="110"/>
      <c r="E70" s="1"/>
      <c r="F70" s="1"/>
      <c r="G70" s="1"/>
      <c r="H70" s="2"/>
      <c r="I70" s="2"/>
      <c r="J70" s="1"/>
      <c r="K70" s="1"/>
      <c r="L70" s="1"/>
      <c r="M70" s="1"/>
      <c r="N70" s="1"/>
      <c r="O70" s="1"/>
      <c r="P70" s="1"/>
      <c r="Q70" s="1"/>
      <c r="R70" s="1"/>
      <c r="S70" s="1"/>
      <c r="T70" s="1"/>
      <c r="U70" s="1"/>
      <c r="V70" s="1"/>
      <c r="W70" s="1"/>
      <c r="X70" s="1"/>
      <c r="Y70" s="1"/>
      <c r="Z70" s="1"/>
      <c r="AA70" s="1"/>
      <c r="AB70" s="1"/>
      <c r="AC70" s="1"/>
    </row>
    <row r="71" spans="1:29" ht="26.25" x14ac:dyDescent="0.4">
      <c r="A71" s="28"/>
      <c r="B71" s="23"/>
      <c r="C71" s="43"/>
      <c r="D71" s="110"/>
      <c r="E71" s="1"/>
      <c r="F71" s="1"/>
      <c r="G71" s="1"/>
      <c r="H71" s="2"/>
      <c r="I71" s="2"/>
      <c r="J71" s="1"/>
      <c r="K71" s="1"/>
      <c r="L71" s="1"/>
      <c r="M71" s="1"/>
      <c r="N71" s="1"/>
      <c r="O71" s="1"/>
      <c r="P71" s="1"/>
      <c r="Q71" s="1"/>
      <c r="R71" s="1"/>
      <c r="S71" s="1"/>
      <c r="T71" s="1"/>
      <c r="U71" s="1"/>
      <c r="V71" s="1"/>
      <c r="W71" s="1"/>
      <c r="X71" s="1"/>
      <c r="Y71" s="1"/>
      <c r="Z71" s="1"/>
      <c r="AA71" s="1"/>
      <c r="AB71" s="1"/>
      <c r="AC71" s="1"/>
    </row>
    <row r="72" spans="1:29" ht="26.25" x14ac:dyDescent="0.4">
      <c r="A72" s="28"/>
      <c r="B72" s="23"/>
      <c r="C72" s="38"/>
      <c r="D72" s="110"/>
      <c r="E72" s="1"/>
      <c r="F72" s="1"/>
      <c r="G72" s="1"/>
      <c r="H72" s="2"/>
      <c r="I72" s="2"/>
      <c r="J72" s="1"/>
      <c r="K72" s="1"/>
      <c r="L72" s="1"/>
      <c r="M72" s="1"/>
      <c r="N72" s="1"/>
      <c r="O72" s="1"/>
      <c r="P72" s="1"/>
      <c r="Q72" s="1"/>
      <c r="R72" s="1"/>
      <c r="S72" s="1"/>
      <c r="T72" s="1"/>
      <c r="U72" s="1"/>
      <c r="V72" s="1"/>
      <c r="W72" s="1"/>
      <c r="X72" s="1"/>
      <c r="Y72" s="1"/>
      <c r="Z72" s="1"/>
      <c r="AA72" s="1"/>
      <c r="AB72" s="1"/>
      <c r="AC72" s="1"/>
    </row>
    <row r="73" spans="1:29" ht="26.25" x14ac:dyDescent="0.4">
      <c r="A73" s="28"/>
      <c r="B73" s="23"/>
      <c r="C73" s="38"/>
      <c r="D73" s="110"/>
      <c r="E73" s="1"/>
      <c r="F73" s="1"/>
      <c r="G73" s="1"/>
      <c r="H73" s="2"/>
      <c r="I73" s="2"/>
      <c r="J73" s="1"/>
      <c r="K73" s="1"/>
      <c r="L73" s="1"/>
      <c r="M73" s="1"/>
      <c r="N73" s="1"/>
      <c r="O73" s="1"/>
      <c r="P73" s="1"/>
      <c r="Q73" s="1"/>
      <c r="R73" s="1"/>
      <c r="S73" s="1"/>
      <c r="T73" s="1"/>
      <c r="U73" s="1"/>
      <c r="V73" s="1"/>
      <c r="W73" s="1"/>
      <c r="X73" s="1"/>
      <c r="Y73" s="1"/>
      <c r="Z73" s="1"/>
      <c r="AA73" s="1"/>
      <c r="AB73" s="1"/>
      <c r="AC73" s="1"/>
    </row>
    <row r="74" spans="1:29" ht="26.25" x14ac:dyDescent="0.4">
      <c r="A74" s="28"/>
      <c r="B74" s="23"/>
      <c r="C74" s="38"/>
      <c r="D74" s="110"/>
      <c r="E74" s="1"/>
      <c r="F74" s="1"/>
      <c r="G74" s="1"/>
      <c r="H74" s="2"/>
      <c r="I74" s="2"/>
      <c r="J74" s="1"/>
      <c r="K74" s="1"/>
      <c r="L74" s="1"/>
      <c r="M74" s="1"/>
      <c r="N74" s="1"/>
      <c r="O74" s="1"/>
      <c r="P74" s="1"/>
      <c r="Q74" s="1"/>
      <c r="R74" s="1"/>
      <c r="S74" s="1"/>
      <c r="T74" s="1"/>
      <c r="U74" s="1"/>
      <c r="V74" s="1"/>
      <c r="W74" s="1"/>
      <c r="X74" s="1"/>
      <c r="Y74" s="1"/>
      <c r="Z74" s="1"/>
      <c r="AA74" s="1"/>
      <c r="AB74" s="1"/>
      <c r="AC74" s="1"/>
    </row>
    <row r="75" spans="1:29" ht="26.25" x14ac:dyDescent="0.4">
      <c r="A75" s="28"/>
      <c r="B75" s="23"/>
      <c r="C75" s="38"/>
      <c r="D75" s="110"/>
      <c r="E75" s="1"/>
      <c r="F75" s="1"/>
      <c r="G75" s="1"/>
      <c r="H75" s="2"/>
      <c r="I75" s="2"/>
      <c r="J75" s="1"/>
      <c r="K75" s="1"/>
      <c r="L75" s="1"/>
      <c r="M75" s="1"/>
      <c r="N75" s="1"/>
      <c r="O75" s="1"/>
      <c r="P75" s="1"/>
      <c r="Q75" s="1"/>
      <c r="R75" s="1"/>
      <c r="S75" s="1"/>
      <c r="T75" s="1"/>
      <c r="U75" s="1"/>
      <c r="V75" s="1"/>
      <c r="W75" s="1"/>
      <c r="X75" s="1"/>
      <c r="Y75" s="1"/>
      <c r="Z75" s="1"/>
      <c r="AA75" s="1"/>
      <c r="AB75" s="1"/>
      <c r="AC75" s="1"/>
    </row>
    <row r="76" spans="1:29" ht="26.25" x14ac:dyDescent="0.4">
      <c r="A76" s="28"/>
      <c r="B76" s="23"/>
      <c r="C76" s="38"/>
      <c r="D76" s="110"/>
      <c r="E76" s="1"/>
      <c r="F76" s="1"/>
      <c r="G76" s="1"/>
      <c r="H76" s="2"/>
      <c r="I76" s="2"/>
      <c r="J76" s="1"/>
      <c r="K76" s="1"/>
      <c r="L76" s="1"/>
      <c r="M76" s="1"/>
      <c r="N76" s="1"/>
      <c r="O76" s="1"/>
      <c r="P76" s="1"/>
      <c r="Q76" s="1"/>
      <c r="R76" s="1"/>
      <c r="S76" s="1"/>
      <c r="T76" s="1"/>
      <c r="U76" s="1"/>
      <c r="V76" s="1"/>
      <c r="W76" s="1"/>
      <c r="X76" s="1"/>
      <c r="Y76" s="1"/>
      <c r="Z76" s="1"/>
      <c r="AA76" s="1"/>
      <c r="AB76" s="1"/>
      <c r="AC76" s="1"/>
    </row>
    <row r="77" spans="1:29" ht="26.25" x14ac:dyDescent="0.4">
      <c r="A77" s="28"/>
      <c r="B77" s="23"/>
      <c r="C77" s="38"/>
      <c r="D77" s="110"/>
      <c r="E77" s="1"/>
      <c r="F77" s="1"/>
      <c r="G77" s="1"/>
      <c r="H77" s="2"/>
      <c r="I77" s="2"/>
      <c r="J77" s="1"/>
      <c r="K77" s="1"/>
      <c r="L77" s="1"/>
      <c r="M77" s="1"/>
      <c r="N77" s="1"/>
      <c r="O77" s="1"/>
      <c r="P77" s="1"/>
      <c r="Q77" s="1"/>
      <c r="R77" s="1"/>
      <c r="S77" s="1"/>
      <c r="T77" s="1"/>
      <c r="U77" s="1"/>
      <c r="V77" s="1"/>
      <c r="W77" s="1"/>
      <c r="X77" s="1"/>
      <c r="Y77" s="1"/>
      <c r="Z77" s="1"/>
      <c r="AA77" s="1"/>
      <c r="AB77" s="1"/>
      <c r="AC77" s="1"/>
    </row>
    <row r="78" spans="1:29" ht="26.25" x14ac:dyDescent="0.4">
      <c r="A78" s="28"/>
      <c r="B78" s="23"/>
      <c r="C78" s="38"/>
      <c r="D78" s="110"/>
      <c r="E78" s="1"/>
      <c r="F78" s="1"/>
      <c r="G78" s="1"/>
      <c r="H78" s="2"/>
      <c r="I78" s="2"/>
      <c r="J78" s="1"/>
      <c r="K78" s="1"/>
      <c r="L78" s="1"/>
      <c r="M78" s="1"/>
      <c r="N78" s="1"/>
      <c r="O78" s="1"/>
      <c r="P78" s="1"/>
      <c r="Q78" s="1"/>
      <c r="R78" s="1"/>
      <c r="S78" s="1"/>
      <c r="T78" s="1"/>
      <c r="U78" s="1"/>
      <c r="V78" s="1"/>
      <c r="W78" s="1"/>
      <c r="X78" s="1"/>
      <c r="Y78" s="1"/>
      <c r="Z78" s="1"/>
      <c r="AA78" s="1"/>
      <c r="AB78" s="1"/>
      <c r="AC78" s="1"/>
    </row>
    <row r="79" spans="1:29" ht="26.25" x14ac:dyDescent="0.4">
      <c r="A79" s="28"/>
      <c r="B79" s="23"/>
      <c r="C79" s="38"/>
      <c r="D79" s="110"/>
      <c r="E79" s="1"/>
      <c r="F79" s="1"/>
      <c r="G79" s="1"/>
      <c r="H79" s="2"/>
      <c r="I79" s="2"/>
      <c r="J79" s="1"/>
      <c r="K79" s="1"/>
      <c r="L79" s="1"/>
      <c r="M79" s="1"/>
      <c r="N79" s="1"/>
      <c r="O79" s="1"/>
      <c r="P79" s="1"/>
      <c r="Q79" s="1"/>
      <c r="R79" s="1"/>
      <c r="S79" s="1"/>
      <c r="T79" s="1"/>
      <c r="U79" s="1"/>
      <c r="V79" s="1"/>
      <c r="W79" s="1"/>
      <c r="X79" s="1"/>
      <c r="Y79" s="1"/>
      <c r="Z79" s="1"/>
      <c r="AA79" s="1"/>
      <c r="AB79" s="1"/>
      <c r="AC79" s="1"/>
    </row>
    <row r="80" spans="1:29" ht="26.25" x14ac:dyDescent="0.4">
      <c r="A80" s="28"/>
      <c r="B80" s="23"/>
      <c r="C80" s="38"/>
      <c r="D80" s="110"/>
      <c r="E80" s="1"/>
      <c r="F80" s="1"/>
      <c r="G80" s="1"/>
      <c r="H80" s="2"/>
      <c r="I80" s="2"/>
      <c r="J80" s="1"/>
      <c r="K80" s="1"/>
      <c r="L80" s="1"/>
      <c r="M80" s="1"/>
      <c r="N80" s="1"/>
      <c r="O80" s="1"/>
      <c r="P80" s="1"/>
      <c r="Q80" s="1"/>
      <c r="R80" s="1"/>
      <c r="S80" s="1"/>
      <c r="T80" s="1"/>
      <c r="U80" s="1"/>
      <c r="V80" s="1"/>
      <c r="W80" s="1"/>
      <c r="X80" s="1"/>
      <c r="Y80" s="1"/>
      <c r="Z80" s="1"/>
      <c r="AA80" s="1"/>
      <c r="AB80" s="1"/>
      <c r="AC80" s="1"/>
    </row>
    <row r="81" spans="1:29" ht="26.25" x14ac:dyDescent="0.4">
      <c r="A81" s="28"/>
      <c r="B81" s="23"/>
      <c r="C81" s="38"/>
      <c r="D81" s="110"/>
      <c r="E81" s="1"/>
      <c r="F81" s="1"/>
      <c r="G81" s="1"/>
      <c r="H81" s="2"/>
      <c r="I81" s="2"/>
      <c r="J81" s="1"/>
      <c r="K81" s="1"/>
      <c r="L81" s="1"/>
      <c r="M81" s="1"/>
      <c r="N81" s="1"/>
      <c r="O81" s="1"/>
      <c r="P81" s="1"/>
      <c r="Q81" s="1"/>
      <c r="R81" s="1"/>
      <c r="S81" s="1"/>
      <c r="T81" s="1"/>
      <c r="U81" s="1"/>
      <c r="V81" s="1"/>
      <c r="W81" s="1"/>
      <c r="X81" s="1"/>
      <c r="Y81" s="1"/>
      <c r="Z81" s="1"/>
      <c r="AA81" s="1"/>
      <c r="AB81" s="1"/>
      <c r="AC81" s="1"/>
    </row>
    <row r="82" spans="1:29" ht="26.25" x14ac:dyDescent="0.4">
      <c r="A82" s="28"/>
      <c r="B82" s="23"/>
      <c r="C82" s="38"/>
      <c r="D82" s="110"/>
      <c r="E82" s="1"/>
      <c r="F82" s="1"/>
      <c r="G82" s="1"/>
      <c r="H82" s="2"/>
      <c r="I82" s="2"/>
      <c r="J82" s="1"/>
      <c r="K82" s="1"/>
      <c r="L82" s="1"/>
      <c r="M82" s="1"/>
      <c r="N82" s="1"/>
      <c r="O82" s="1"/>
      <c r="P82" s="1"/>
      <c r="Q82" s="1"/>
      <c r="R82" s="1"/>
      <c r="S82" s="1"/>
      <c r="T82" s="1"/>
      <c r="U82" s="1"/>
      <c r="V82" s="1"/>
      <c r="W82" s="1"/>
      <c r="X82" s="1"/>
      <c r="Y82" s="1"/>
      <c r="Z82" s="1"/>
      <c r="AA82" s="1"/>
      <c r="AB82" s="1"/>
      <c r="AC82" s="1"/>
    </row>
    <row r="83" spans="1:29" ht="26.25" x14ac:dyDescent="0.4">
      <c r="A83" s="28"/>
      <c r="B83" s="23"/>
      <c r="C83" s="38"/>
      <c r="D83" s="110"/>
      <c r="E83" s="1"/>
      <c r="F83" s="1"/>
      <c r="G83" s="1"/>
      <c r="H83" s="2"/>
      <c r="I83" s="2"/>
      <c r="J83" s="1"/>
      <c r="K83" s="1"/>
      <c r="L83" s="1"/>
      <c r="M83" s="1"/>
      <c r="N83" s="1"/>
      <c r="O83" s="1"/>
      <c r="P83" s="1"/>
      <c r="Q83" s="1"/>
      <c r="R83" s="1"/>
      <c r="S83" s="1"/>
      <c r="T83" s="1"/>
      <c r="U83" s="1"/>
      <c r="V83" s="1"/>
      <c r="W83" s="1"/>
      <c r="X83" s="1"/>
      <c r="Y83" s="1"/>
      <c r="Z83" s="1"/>
      <c r="AA83" s="1"/>
      <c r="AB83" s="1"/>
      <c r="AC83" s="1"/>
    </row>
    <row r="84" spans="1:29" ht="26.25" x14ac:dyDescent="0.4">
      <c r="A84" s="28"/>
      <c r="B84" s="23"/>
      <c r="C84" s="38"/>
      <c r="D84" s="110"/>
      <c r="E84" s="1"/>
      <c r="F84" s="1"/>
      <c r="G84" s="1"/>
      <c r="H84" s="2"/>
      <c r="I84" s="2"/>
      <c r="J84" s="1"/>
      <c r="K84" s="1"/>
      <c r="L84" s="1"/>
      <c r="M84" s="1"/>
      <c r="N84" s="1"/>
      <c r="O84" s="1"/>
      <c r="P84" s="1"/>
      <c r="Q84" s="1"/>
      <c r="R84" s="1"/>
      <c r="S84" s="1"/>
      <c r="T84" s="1"/>
      <c r="U84" s="1"/>
      <c r="V84" s="1"/>
      <c r="W84" s="1"/>
      <c r="X84" s="1"/>
      <c r="Y84" s="1"/>
      <c r="Z84" s="1"/>
      <c r="AA84" s="1"/>
      <c r="AB84" s="1"/>
      <c r="AC84" s="1"/>
    </row>
    <row r="85" spans="1:29" ht="26.25" x14ac:dyDescent="0.4">
      <c r="A85" s="28"/>
      <c r="B85" s="42"/>
      <c r="C85" s="38"/>
      <c r="D85" s="112"/>
      <c r="E85" s="23"/>
      <c r="P85" s="1"/>
      <c r="Q85" s="1"/>
      <c r="R85" s="1"/>
      <c r="S85" s="1"/>
      <c r="T85" s="1"/>
      <c r="U85" s="1"/>
      <c r="V85" s="1"/>
      <c r="W85" s="1"/>
      <c r="X85" s="1"/>
      <c r="Y85" s="1"/>
      <c r="Z85" s="1"/>
      <c r="AA85" s="1"/>
      <c r="AB85" s="1"/>
      <c r="AC85" s="1"/>
    </row>
    <row r="86" spans="1:29" ht="26.25" x14ac:dyDescent="0.4">
      <c r="A86" s="28"/>
      <c r="B86" s="23"/>
      <c r="C86" s="38"/>
      <c r="D86" s="112"/>
      <c r="E86" s="23"/>
      <c r="P86" s="1"/>
      <c r="Q86" s="1"/>
      <c r="R86" s="1"/>
      <c r="S86" s="1"/>
      <c r="T86" s="1"/>
      <c r="U86" s="1"/>
      <c r="V86" s="1"/>
      <c r="W86" s="1"/>
      <c r="X86" s="1"/>
      <c r="Y86" s="1"/>
      <c r="Z86" s="1"/>
      <c r="AA86" s="1"/>
      <c r="AB86" s="1"/>
      <c r="AC86" s="1"/>
    </row>
    <row r="87" spans="1:29" ht="26.25" x14ac:dyDescent="0.4">
      <c r="A87" s="28"/>
      <c r="B87" s="23"/>
      <c r="C87" s="38"/>
      <c r="D87" s="110"/>
      <c r="E87" s="1"/>
      <c r="F87" s="1"/>
      <c r="G87" s="1"/>
      <c r="H87" s="2"/>
      <c r="I87" s="2"/>
      <c r="J87" s="1"/>
      <c r="K87" s="1"/>
      <c r="L87" s="1"/>
      <c r="M87" s="1"/>
      <c r="N87" s="1"/>
      <c r="O87" s="1"/>
      <c r="P87" s="1"/>
      <c r="Q87" s="1"/>
      <c r="R87" s="1"/>
      <c r="S87" s="1"/>
      <c r="T87" s="1"/>
      <c r="U87" s="1"/>
      <c r="V87" s="1"/>
      <c r="W87" s="1"/>
      <c r="X87" s="1"/>
      <c r="Y87" s="1"/>
      <c r="Z87" s="1"/>
      <c r="AA87" s="1"/>
      <c r="AB87" s="1"/>
      <c r="AC87" s="1"/>
    </row>
    <row r="88" spans="1:29" ht="26.25" x14ac:dyDescent="0.4">
      <c r="A88" s="28"/>
      <c r="B88" s="23"/>
      <c r="C88" s="38"/>
      <c r="D88" s="110"/>
      <c r="E88" s="1"/>
      <c r="F88" s="1"/>
      <c r="G88" s="1"/>
      <c r="H88" s="2"/>
      <c r="I88" s="2"/>
      <c r="J88" s="1"/>
      <c r="K88" s="1"/>
      <c r="L88" s="1"/>
      <c r="M88" s="1"/>
      <c r="N88" s="1"/>
      <c r="O88" s="1"/>
      <c r="P88" s="1"/>
      <c r="Q88" s="1"/>
      <c r="R88" s="1"/>
      <c r="S88" s="1"/>
      <c r="T88" s="1"/>
      <c r="U88" s="1"/>
      <c r="V88" s="1"/>
      <c r="W88" s="1"/>
      <c r="X88" s="1"/>
      <c r="Y88" s="1"/>
      <c r="Z88" s="1"/>
      <c r="AA88" s="1"/>
      <c r="AB88" s="1"/>
      <c r="AC88" s="1"/>
    </row>
    <row r="89" spans="1:29" ht="26.25" x14ac:dyDescent="0.4">
      <c r="A89" s="28"/>
      <c r="B89" s="23"/>
      <c r="C89" s="38"/>
      <c r="D89" s="110"/>
      <c r="E89" s="1"/>
      <c r="F89" s="1"/>
      <c r="G89" s="1"/>
      <c r="H89" s="2"/>
      <c r="I89" s="2"/>
      <c r="J89" s="1"/>
      <c r="K89" s="1"/>
      <c r="L89" s="1"/>
      <c r="M89" s="1"/>
      <c r="N89" s="1"/>
      <c r="O89" s="1"/>
      <c r="P89" s="1"/>
      <c r="Q89" s="1"/>
      <c r="R89" s="1"/>
      <c r="S89" s="1"/>
      <c r="T89" s="1"/>
      <c r="U89" s="1"/>
      <c r="V89" s="1"/>
      <c r="W89" s="1"/>
      <c r="X89" s="1"/>
      <c r="Y89" s="1"/>
      <c r="Z89" s="1"/>
      <c r="AA89" s="1"/>
      <c r="AB89" s="1"/>
      <c r="AC89" s="1"/>
    </row>
    <row r="90" spans="1:29" ht="26.25" x14ac:dyDescent="0.4">
      <c r="A90" s="28"/>
      <c r="B90" s="23"/>
      <c r="C90" s="38"/>
      <c r="D90" s="110"/>
      <c r="E90" s="1"/>
      <c r="F90" s="1"/>
      <c r="G90" s="1"/>
      <c r="H90" s="2"/>
      <c r="I90" s="2"/>
      <c r="J90" s="1"/>
      <c r="K90" s="1"/>
      <c r="L90" s="1"/>
      <c r="M90" s="1"/>
      <c r="N90" s="1"/>
      <c r="O90" s="1"/>
      <c r="P90" s="1"/>
      <c r="Q90" s="1"/>
      <c r="R90" s="1"/>
      <c r="S90" s="1"/>
      <c r="T90" s="1"/>
      <c r="U90" s="1"/>
      <c r="V90" s="1"/>
      <c r="W90" s="1"/>
      <c r="X90" s="1"/>
      <c r="Y90" s="1"/>
      <c r="Z90" s="1"/>
      <c r="AA90" s="1"/>
      <c r="AB90" s="1"/>
      <c r="AC90" s="1"/>
    </row>
    <row r="91" spans="1:29" ht="26.25" x14ac:dyDescent="0.4">
      <c r="A91" s="28"/>
      <c r="B91" s="23"/>
      <c r="C91" s="38"/>
      <c r="D91" s="110"/>
      <c r="E91" s="1"/>
      <c r="F91" s="1"/>
      <c r="G91" s="1"/>
      <c r="H91" s="2"/>
      <c r="I91" s="2"/>
      <c r="J91" s="1"/>
      <c r="K91" s="1"/>
      <c r="L91" s="1"/>
      <c r="M91" s="1"/>
      <c r="N91" s="1"/>
      <c r="O91" s="1"/>
      <c r="P91" s="1"/>
      <c r="Q91" s="1"/>
      <c r="R91" s="1"/>
      <c r="S91" s="1"/>
      <c r="T91" s="1"/>
      <c r="U91" s="1"/>
      <c r="V91" s="1"/>
      <c r="W91" s="1"/>
      <c r="X91" s="1"/>
      <c r="Y91" s="1"/>
      <c r="Z91" s="1"/>
      <c r="AA91" s="1"/>
      <c r="AB91" s="1"/>
      <c r="AC91" s="1"/>
    </row>
    <row r="92" spans="1:29" ht="26.25" x14ac:dyDescent="0.4">
      <c r="A92" s="28"/>
      <c r="B92" s="23"/>
      <c r="C92" s="38"/>
      <c r="D92" s="110"/>
      <c r="E92" s="1"/>
      <c r="F92" s="1"/>
      <c r="G92" s="1"/>
      <c r="H92" s="2"/>
      <c r="I92" s="2"/>
      <c r="J92" s="1"/>
      <c r="K92" s="1"/>
      <c r="L92" s="1"/>
      <c r="M92" s="1"/>
      <c r="N92" s="1"/>
      <c r="O92" s="1"/>
      <c r="P92" s="1"/>
      <c r="Q92" s="1"/>
      <c r="R92" s="1"/>
      <c r="S92" s="1"/>
      <c r="T92" s="1"/>
      <c r="U92" s="1"/>
      <c r="V92" s="1"/>
      <c r="W92" s="1"/>
      <c r="X92" s="1"/>
      <c r="Y92" s="1"/>
      <c r="Z92" s="1"/>
      <c r="AA92" s="1"/>
      <c r="AB92" s="1"/>
      <c r="AC92" s="1"/>
    </row>
    <row r="93" spans="1:29" ht="26.25" x14ac:dyDescent="0.4">
      <c r="A93" s="28"/>
      <c r="B93" s="23"/>
      <c r="C93" s="38"/>
      <c r="D93" s="110"/>
      <c r="E93" s="1"/>
      <c r="F93" s="1"/>
      <c r="G93" s="1"/>
      <c r="H93" s="2"/>
      <c r="I93" s="2"/>
      <c r="J93" s="1"/>
      <c r="K93" s="1"/>
      <c r="L93" s="1"/>
      <c r="M93" s="1"/>
      <c r="N93" s="1"/>
      <c r="O93" s="1"/>
      <c r="P93" s="1"/>
      <c r="Q93" s="1"/>
      <c r="R93" s="1"/>
      <c r="S93" s="1"/>
      <c r="T93" s="1"/>
      <c r="U93" s="1"/>
      <c r="V93" s="1"/>
      <c r="W93" s="1"/>
      <c r="X93" s="1"/>
      <c r="Y93" s="1"/>
      <c r="Z93" s="1"/>
      <c r="AA93" s="1"/>
      <c r="AB93" s="1"/>
      <c r="AC93" s="1"/>
    </row>
    <row r="94" spans="1:29" ht="26.25" x14ac:dyDescent="0.4">
      <c r="A94" s="28"/>
      <c r="B94" s="23"/>
      <c r="C94" s="23"/>
      <c r="D94" s="110"/>
      <c r="E94" s="1"/>
      <c r="F94" s="1"/>
      <c r="G94" s="1"/>
      <c r="H94" s="2"/>
      <c r="I94" s="2"/>
      <c r="J94" s="1"/>
      <c r="K94" s="1"/>
      <c r="L94" s="1"/>
      <c r="M94" s="1"/>
      <c r="N94" s="1"/>
      <c r="O94" s="1"/>
      <c r="P94" s="1"/>
      <c r="Q94" s="1"/>
      <c r="R94" s="1"/>
      <c r="S94" s="1"/>
      <c r="T94" s="1"/>
      <c r="U94" s="1"/>
      <c r="V94" s="1"/>
      <c r="W94" s="1"/>
      <c r="X94" s="1"/>
      <c r="Y94" s="1"/>
      <c r="Z94" s="1"/>
      <c r="AA94" s="1"/>
      <c r="AB94" s="1"/>
      <c r="AC94" s="1"/>
    </row>
    <row r="95" spans="1:29" ht="26.25" x14ac:dyDescent="0.4">
      <c r="A95" s="28"/>
      <c r="B95" s="23"/>
      <c r="C95" s="23"/>
      <c r="D95" s="110"/>
      <c r="E95" s="1"/>
      <c r="F95" s="1"/>
      <c r="G95" s="1"/>
      <c r="H95" s="2"/>
      <c r="I95" s="2"/>
      <c r="J95" s="1"/>
      <c r="K95" s="1"/>
      <c r="L95" s="1"/>
      <c r="M95" s="1"/>
      <c r="N95" s="1"/>
      <c r="O95" s="1"/>
      <c r="P95" s="1"/>
      <c r="Q95" s="1"/>
      <c r="R95" s="1"/>
      <c r="S95" s="1"/>
      <c r="T95" s="1"/>
      <c r="U95" s="1"/>
      <c r="V95" s="1"/>
      <c r="W95" s="1"/>
      <c r="X95" s="1"/>
      <c r="Y95" s="1"/>
      <c r="Z95" s="1"/>
      <c r="AA95" s="1"/>
      <c r="AB95" s="1"/>
      <c r="AC95" s="1"/>
    </row>
    <row r="96" spans="1:29" ht="26.25" x14ac:dyDescent="0.4">
      <c r="A96" s="28"/>
      <c r="B96" s="23"/>
      <c r="C96" s="23"/>
      <c r="D96" s="110"/>
      <c r="E96" s="1"/>
      <c r="F96" s="1"/>
      <c r="G96" s="1"/>
      <c r="H96" s="2"/>
      <c r="I96" s="2"/>
      <c r="J96" s="1"/>
      <c r="K96" s="1"/>
      <c r="L96" s="1"/>
      <c r="M96" s="1"/>
      <c r="N96" s="1"/>
      <c r="O96" s="1"/>
      <c r="P96" s="1"/>
      <c r="Q96" s="1"/>
      <c r="R96" s="1"/>
      <c r="S96" s="1"/>
      <c r="T96" s="1"/>
      <c r="U96" s="1"/>
      <c r="V96" s="1"/>
      <c r="W96" s="1"/>
      <c r="X96" s="1"/>
      <c r="Y96" s="1"/>
      <c r="Z96" s="1"/>
      <c r="AA96" s="1"/>
      <c r="AB96" s="1"/>
      <c r="AC96" s="1"/>
    </row>
    <row r="97" spans="1:29" ht="26.25" x14ac:dyDescent="0.4">
      <c r="A97" s="28"/>
      <c r="B97" s="23"/>
      <c r="C97" s="23"/>
      <c r="D97" s="110"/>
      <c r="E97" s="1"/>
      <c r="F97" s="1"/>
      <c r="G97" s="1"/>
      <c r="H97" s="2"/>
      <c r="I97" s="2"/>
      <c r="J97" s="1"/>
      <c r="K97" s="1"/>
      <c r="L97" s="1"/>
      <c r="M97" s="1"/>
      <c r="N97" s="1"/>
      <c r="O97" s="1"/>
      <c r="P97" s="1"/>
      <c r="Q97" s="1"/>
      <c r="R97" s="1"/>
      <c r="S97" s="1"/>
      <c r="T97" s="1"/>
      <c r="U97" s="1"/>
      <c r="V97" s="1"/>
      <c r="W97" s="1"/>
      <c r="X97" s="1"/>
      <c r="Y97" s="1"/>
      <c r="Z97" s="1"/>
      <c r="AA97" s="1"/>
      <c r="AB97" s="1"/>
      <c r="AC97" s="1"/>
    </row>
    <row r="98" spans="1:29" ht="26.25" x14ac:dyDescent="0.4">
      <c r="A98" s="28"/>
      <c r="B98" s="23"/>
      <c r="C98" s="23"/>
      <c r="D98" s="110"/>
      <c r="E98" s="1"/>
      <c r="F98" s="1"/>
      <c r="G98" s="1"/>
      <c r="H98" s="2"/>
      <c r="I98" s="2"/>
      <c r="J98" s="1"/>
      <c r="K98" s="1"/>
      <c r="L98" s="1"/>
      <c r="M98" s="1"/>
      <c r="N98" s="1"/>
      <c r="O98" s="1"/>
      <c r="P98" s="1"/>
      <c r="Q98" s="1"/>
      <c r="R98" s="1"/>
      <c r="S98" s="1"/>
      <c r="T98" s="1"/>
      <c r="U98" s="1"/>
      <c r="V98" s="1"/>
      <c r="W98" s="1"/>
      <c r="X98" s="1"/>
      <c r="Y98" s="1"/>
      <c r="Z98" s="1"/>
      <c r="AA98" s="1"/>
      <c r="AB98" s="1"/>
      <c r="AC98" s="1"/>
    </row>
    <row r="99" spans="1:29" ht="26.25" x14ac:dyDescent="0.4">
      <c r="A99" s="28"/>
      <c r="B99" s="23"/>
      <c r="C99" s="23"/>
      <c r="D99" s="110"/>
      <c r="E99" s="1"/>
      <c r="F99" s="1"/>
      <c r="G99" s="1"/>
      <c r="H99" s="2"/>
      <c r="I99" s="2"/>
      <c r="J99" s="1"/>
      <c r="K99" s="1"/>
      <c r="L99" s="1"/>
      <c r="M99" s="1"/>
      <c r="N99" s="1"/>
      <c r="O99" s="1"/>
      <c r="P99" s="1"/>
      <c r="Q99" s="1"/>
      <c r="R99" s="1"/>
      <c r="S99" s="1"/>
      <c r="T99" s="1"/>
      <c r="U99" s="1"/>
      <c r="V99" s="1"/>
      <c r="W99" s="1"/>
      <c r="X99" s="1"/>
      <c r="Y99" s="1"/>
      <c r="Z99" s="1"/>
      <c r="AA99" s="1"/>
      <c r="AB99" s="1"/>
      <c r="AC99" s="1"/>
    </row>
    <row r="100" spans="1:29" ht="26.25" x14ac:dyDescent="0.4">
      <c r="A100" s="28"/>
      <c r="B100" s="23"/>
      <c r="C100" s="23"/>
      <c r="D100" s="110"/>
      <c r="E100" s="1"/>
      <c r="F100" s="1"/>
      <c r="G100" s="1"/>
      <c r="H100" s="2"/>
      <c r="I100" s="2"/>
      <c r="J100" s="1"/>
      <c r="K100" s="1"/>
      <c r="L100" s="1"/>
      <c r="M100" s="1"/>
      <c r="N100" s="1"/>
      <c r="O100" s="1"/>
      <c r="P100" s="1"/>
      <c r="Q100" s="1"/>
      <c r="R100" s="1"/>
      <c r="S100" s="1"/>
      <c r="T100" s="1"/>
      <c r="U100" s="1"/>
      <c r="V100" s="1"/>
      <c r="W100" s="1"/>
      <c r="X100" s="1"/>
      <c r="Y100" s="1"/>
      <c r="Z100" s="1"/>
      <c r="AA100" s="1"/>
      <c r="AB100" s="1"/>
      <c r="AC100" s="1"/>
    </row>
    <row r="101" spans="1:29" ht="26.25" x14ac:dyDescent="0.4">
      <c r="A101" s="28"/>
      <c r="B101" s="23"/>
      <c r="C101" s="23"/>
      <c r="D101" s="110"/>
      <c r="E101" s="1"/>
      <c r="F101" s="1"/>
      <c r="G101" s="1"/>
      <c r="H101" s="2"/>
      <c r="I101" s="2"/>
      <c r="J101" s="1"/>
      <c r="K101" s="1"/>
      <c r="L101" s="1"/>
      <c r="M101" s="1"/>
      <c r="N101" s="1"/>
      <c r="O101" s="1"/>
      <c r="P101" s="1"/>
      <c r="Q101" s="1"/>
      <c r="R101" s="1"/>
      <c r="S101" s="1"/>
      <c r="T101" s="1"/>
      <c r="U101" s="1"/>
      <c r="V101" s="1"/>
      <c r="W101" s="1"/>
      <c r="X101" s="1"/>
      <c r="Y101" s="1"/>
      <c r="Z101" s="1"/>
      <c r="AA101" s="1"/>
      <c r="AB101" s="1"/>
      <c r="AC101" s="1"/>
    </row>
    <row r="102" spans="1:29" ht="26.25" x14ac:dyDescent="0.4">
      <c r="A102" s="28"/>
      <c r="B102" s="23"/>
      <c r="C102" s="23"/>
      <c r="D102" s="110"/>
      <c r="E102" s="1"/>
      <c r="F102" s="1"/>
      <c r="G102" s="1"/>
      <c r="H102" s="2"/>
      <c r="I102" s="2"/>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4">
      <c r="A103" s="28"/>
      <c r="B103" s="1"/>
      <c r="C103" s="1"/>
      <c r="D103" s="110"/>
      <c r="E103" s="1"/>
      <c r="F103" s="1"/>
      <c r="G103" s="1"/>
      <c r="H103" s="2"/>
      <c r="I103" s="2"/>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4">
      <c r="A104" s="28"/>
      <c r="B104" s="1"/>
      <c r="C104" s="1"/>
      <c r="D104" s="110"/>
      <c r="E104" s="1"/>
      <c r="F104" s="1"/>
      <c r="G104" s="1"/>
      <c r="H104" s="2"/>
      <c r="I104" s="2"/>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4">
      <c r="A105" s="28"/>
      <c r="B105" s="1"/>
      <c r="C105" s="1"/>
      <c r="D105" s="110"/>
      <c r="E105" s="1"/>
      <c r="F105" s="1"/>
      <c r="G105" s="1"/>
      <c r="H105" s="2"/>
      <c r="I105" s="2"/>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4">
      <c r="A106" s="28"/>
      <c r="B106" s="1"/>
      <c r="C106" s="1"/>
      <c r="D106" s="110"/>
      <c r="E106" s="1"/>
      <c r="F106" s="1"/>
      <c r="G106" s="1"/>
      <c r="H106" s="2"/>
      <c r="I106" s="2"/>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4">
      <c r="A107" s="28"/>
      <c r="B107" s="1"/>
      <c r="C107" s="1"/>
      <c r="D107" s="110"/>
      <c r="E107" s="1"/>
      <c r="F107" s="1"/>
      <c r="G107" s="1"/>
      <c r="H107" s="2"/>
      <c r="I107" s="2"/>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4">
      <c r="A108" s="28"/>
      <c r="B108" s="1"/>
      <c r="C108" s="1"/>
      <c r="D108" s="110"/>
      <c r="E108" s="1"/>
      <c r="F108" s="1"/>
      <c r="G108" s="1"/>
      <c r="H108" s="2"/>
      <c r="I108" s="2"/>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4">
      <c r="A109" s="28"/>
      <c r="B109" s="1"/>
      <c r="C109" s="1"/>
      <c r="D109" s="110"/>
      <c r="E109" s="1"/>
      <c r="F109" s="1"/>
      <c r="G109" s="1"/>
      <c r="H109" s="2"/>
      <c r="I109" s="2"/>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4">
      <c r="A110" s="28"/>
      <c r="B110" s="1"/>
      <c r="C110" s="1"/>
      <c r="D110" s="110"/>
      <c r="E110" s="1"/>
      <c r="F110" s="1"/>
      <c r="G110" s="1"/>
      <c r="H110" s="2"/>
      <c r="I110" s="2"/>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4">
      <c r="A111" s="28"/>
      <c r="B111" s="1"/>
      <c r="C111" s="1"/>
      <c r="D111" s="110"/>
      <c r="E111" s="1"/>
      <c r="F111" s="1"/>
      <c r="G111" s="1"/>
      <c r="H111" s="2"/>
      <c r="I111" s="2"/>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4">
      <c r="A112" s="28"/>
      <c r="B112" s="1"/>
      <c r="C112" s="1"/>
      <c r="D112" s="110"/>
      <c r="E112" s="1"/>
      <c r="F112" s="1"/>
      <c r="G112" s="1"/>
      <c r="H112" s="2"/>
      <c r="I112" s="2"/>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4">
      <c r="A113" s="28"/>
      <c r="B113" s="1"/>
      <c r="C113" s="1"/>
      <c r="D113" s="110"/>
      <c r="E113" s="1"/>
      <c r="F113" s="1"/>
      <c r="G113" s="1"/>
      <c r="H113" s="2"/>
      <c r="I113" s="2"/>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4">
      <c r="A114" s="28"/>
      <c r="B114" s="1"/>
      <c r="C114" s="1"/>
      <c r="D114" s="110"/>
      <c r="E114" s="1"/>
      <c r="F114" s="1"/>
      <c r="G114" s="1"/>
      <c r="H114" s="2"/>
      <c r="I114" s="2"/>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4">
      <c r="A115" s="28"/>
      <c r="B115" s="1"/>
      <c r="C115" s="1"/>
      <c r="D115" s="110"/>
      <c r="E115" s="1"/>
      <c r="F115" s="1"/>
      <c r="G115" s="1"/>
      <c r="H115" s="2"/>
      <c r="I115" s="2"/>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4">
      <c r="A116" s="28"/>
      <c r="B116" s="1"/>
      <c r="C116" s="1"/>
      <c r="D116" s="110"/>
      <c r="E116" s="1"/>
      <c r="F116" s="1"/>
      <c r="G116" s="1"/>
      <c r="H116" s="2"/>
      <c r="I116" s="2"/>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4">
      <c r="A117" s="28"/>
      <c r="B117" s="1"/>
      <c r="C117" s="1"/>
      <c r="D117" s="110"/>
      <c r="E117" s="1"/>
      <c r="F117" s="1"/>
      <c r="G117" s="1"/>
      <c r="H117" s="2"/>
      <c r="I117" s="2"/>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4">
      <c r="A118" s="28"/>
      <c r="B118" s="1"/>
      <c r="C118" s="1"/>
      <c r="D118" s="110"/>
      <c r="E118" s="1"/>
      <c r="F118" s="1"/>
      <c r="G118" s="1"/>
      <c r="H118" s="2"/>
      <c r="I118" s="2"/>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4">
      <c r="A119" s="28"/>
      <c r="B119" s="1"/>
      <c r="C119" s="1"/>
      <c r="D119" s="110"/>
      <c r="E119" s="1"/>
      <c r="F119" s="1"/>
      <c r="G119" s="1"/>
      <c r="H119" s="2"/>
      <c r="I119" s="2"/>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4">
      <c r="A120" s="28"/>
      <c r="B120" s="1"/>
      <c r="C120" s="1"/>
      <c r="D120" s="110"/>
      <c r="E120" s="1"/>
      <c r="F120" s="1"/>
      <c r="G120" s="1"/>
      <c r="H120" s="2"/>
      <c r="I120" s="2"/>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4">
      <c r="A121" s="28"/>
      <c r="B121" s="1"/>
      <c r="C121" s="1"/>
      <c r="D121" s="110"/>
      <c r="E121" s="1"/>
      <c r="F121" s="1"/>
      <c r="G121" s="1"/>
      <c r="H121" s="2"/>
      <c r="I121" s="2"/>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4">
      <c r="A122" s="28"/>
      <c r="B122" s="1"/>
      <c r="C122" s="1"/>
      <c r="D122" s="110"/>
      <c r="E122" s="1"/>
      <c r="F122" s="1"/>
      <c r="G122" s="1"/>
      <c r="H122" s="2"/>
      <c r="I122" s="2"/>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4">
      <c r="A123" s="28"/>
      <c r="B123" s="1"/>
      <c r="C123" s="1"/>
      <c r="D123" s="110"/>
      <c r="E123" s="1"/>
      <c r="F123" s="1"/>
      <c r="G123" s="1"/>
      <c r="H123" s="2"/>
      <c r="I123" s="2"/>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4">
      <c r="A124" s="28"/>
      <c r="B124" s="1"/>
      <c r="C124" s="1"/>
      <c r="D124" s="110"/>
      <c r="E124" s="1"/>
      <c r="F124" s="1"/>
      <c r="G124" s="1"/>
      <c r="H124" s="2"/>
      <c r="I124" s="2"/>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4">
      <c r="A125" s="28"/>
      <c r="B125" s="1"/>
      <c r="C125" s="1"/>
      <c r="D125" s="110"/>
      <c r="E125" s="1"/>
      <c r="F125" s="1"/>
      <c r="G125" s="1"/>
      <c r="H125" s="2"/>
      <c r="I125" s="2"/>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4">
      <c r="A126" s="28"/>
      <c r="B126" s="1"/>
      <c r="C126" s="1"/>
      <c r="D126" s="110"/>
      <c r="E126" s="1"/>
      <c r="F126" s="1"/>
      <c r="G126" s="1"/>
      <c r="H126" s="2"/>
      <c r="I126" s="2"/>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4">
      <c r="A127" s="28"/>
      <c r="B127" s="1"/>
      <c r="C127" s="1"/>
      <c r="D127" s="110"/>
      <c r="E127" s="1"/>
      <c r="F127" s="1"/>
      <c r="G127" s="1"/>
      <c r="H127" s="2"/>
      <c r="I127" s="2"/>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4">
      <c r="A128" s="28"/>
      <c r="B128" s="1"/>
      <c r="C128" s="1"/>
      <c r="D128" s="110"/>
      <c r="E128" s="1"/>
      <c r="F128" s="1"/>
      <c r="G128" s="1"/>
      <c r="H128" s="2"/>
      <c r="I128" s="2"/>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4">
      <c r="A129" s="28"/>
      <c r="B129" s="1"/>
      <c r="C129" s="1"/>
      <c r="D129" s="110"/>
      <c r="E129" s="1"/>
      <c r="F129" s="1"/>
      <c r="G129" s="1"/>
      <c r="H129" s="2"/>
      <c r="I129" s="2"/>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4">
      <c r="A130" s="28"/>
      <c r="B130" s="1"/>
      <c r="C130" s="1"/>
      <c r="D130" s="110"/>
      <c r="E130" s="1"/>
      <c r="F130" s="1"/>
      <c r="G130" s="1"/>
      <c r="H130" s="2"/>
      <c r="I130" s="2"/>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4">
      <c r="A131" s="28"/>
      <c r="B131" s="1"/>
      <c r="C131" s="1"/>
      <c r="D131" s="110"/>
      <c r="E131" s="1"/>
      <c r="F131" s="1"/>
      <c r="G131" s="1"/>
      <c r="H131" s="2"/>
      <c r="I131" s="2"/>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4">
      <c r="A132" s="28"/>
      <c r="B132" s="1"/>
      <c r="C132" s="1"/>
      <c r="D132" s="110"/>
      <c r="E132" s="1"/>
      <c r="F132" s="1"/>
      <c r="G132" s="1"/>
      <c r="H132" s="2"/>
      <c r="I132" s="2"/>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4">
      <c r="A133" s="28"/>
      <c r="B133" s="1"/>
      <c r="C133" s="1"/>
      <c r="D133" s="110"/>
      <c r="E133" s="1"/>
      <c r="F133" s="1"/>
      <c r="G133" s="1"/>
      <c r="H133" s="2"/>
      <c r="I133" s="2"/>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4">
      <c r="A134" s="28"/>
      <c r="B134" s="1"/>
      <c r="C134" s="1"/>
      <c r="D134" s="110"/>
      <c r="E134" s="1"/>
      <c r="F134" s="1"/>
      <c r="G134" s="1"/>
      <c r="H134" s="2"/>
      <c r="I134" s="2"/>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4">
      <c r="A135" s="28"/>
      <c r="B135" s="1"/>
      <c r="C135" s="1"/>
      <c r="D135" s="110"/>
      <c r="E135" s="1"/>
      <c r="F135" s="1"/>
      <c r="G135" s="1"/>
      <c r="H135" s="2"/>
      <c r="I135" s="2"/>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4">
      <c r="A136" s="28"/>
      <c r="B136" s="1"/>
      <c r="C136" s="1"/>
      <c r="D136" s="110"/>
      <c r="E136" s="1"/>
      <c r="F136" s="1"/>
      <c r="G136" s="1"/>
      <c r="H136" s="2"/>
      <c r="I136" s="2"/>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4">
      <c r="A137" s="28"/>
      <c r="B137" s="1"/>
      <c r="C137" s="1"/>
      <c r="D137" s="110"/>
      <c r="E137" s="1"/>
      <c r="F137" s="1"/>
      <c r="G137" s="1"/>
      <c r="H137" s="2"/>
      <c r="I137" s="2"/>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4">
      <c r="A138" s="28"/>
      <c r="B138" s="1"/>
      <c r="C138" s="1"/>
      <c r="D138" s="110"/>
      <c r="E138" s="1"/>
      <c r="F138" s="1"/>
      <c r="G138" s="1"/>
      <c r="H138" s="2"/>
      <c r="I138" s="2"/>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4">
      <c r="A139" s="28"/>
      <c r="B139" s="1"/>
      <c r="C139" s="1"/>
      <c r="D139" s="110"/>
      <c r="E139" s="1"/>
      <c r="F139" s="1"/>
      <c r="G139" s="1"/>
      <c r="H139" s="2"/>
      <c r="I139" s="2"/>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4">
      <c r="A140" s="28"/>
      <c r="B140" s="1"/>
      <c r="C140" s="1"/>
      <c r="D140" s="110"/>
      <c r="E140" s="1"/>
      <c r="F140" s="1"/>
      <c r="G140" s="1"/>
      <c r="H140" s="2"/>
      <c r="I140" s="2"/>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4">
      <c r="A141" s="28"/>
      <c r="B141" s="1"/>
      <c r="C141" s="1"/>
      <c r="D141" s="110"/>
      <c r="E141" s="1"/>
      <c r="F141" s="1"/>
      <c r="G141" s="1"/>
      <c r="H141" s="2"/>
      <c r="I141" s="2"/>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4">
      <c r="A142" s="28"/>
      <c r="B142" s="1"/>
      <c r="C142" s="1"/>
      <c r="D142" s="110"/>
      <c r="E142" s="1"/>
      <c r="F142" s="1"/>
      <c r="G142" s="1"/>
      <c r="H142" s="2"/>
      <c r="I142" s="2"/>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4">
      <c r="A143" s="28"/>
      <c r="B143" s="1"/>
      <c r="C143" s="1"/>
      <c r="D143" s="110"/>
      <c r="E143" s="1"/>
      <c r="F143" s="1"/>
      <c r="G143" s="1"/>
      <c r="H143" s="2"/>
      <c r="I143" s="2"/>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4">
      <c r="A144" s="28"/>
      <c r="B144" s="1"/>
      <c r="C144" s="1"/>
      <c r="D144" s="110"/>
      <c r="E144" s="1"/>
      <c r="F144" s="1"/>
      <c r="G144" s="1"/>
      <c r="H144" s="2"/>
      <c r="I144" s="2"/>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4">
      <c r="A145" s="28"/>
      <c r="B145" s="1"/>
      <c r="C145" s="1"/>
      <c r="D145" s="110"/>
      <c r="E145" s="1"/>
      <c r="F145" s="1"/>
      <c r="G145" s="1"/>
      <c r="H145" s="2"/>
      <c r="I145" s="2"/>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4">
      <c r="A146" s="28"/>
      <c r="B146" s="1"/>
      <c r="C146" s="1"/>
      <c r="D146" s="110"/>
      <c r="E146" s="1"/>
      <c r="F146" s="1"/>
      <c r="G146" s="1"/>
      <c r="H146" s="2"/>
      <c r="I146" s="2"/>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4">
      <c r="A147" s="28"/>
      <c r="B147" s="1"/>
      <c r="C147" s="1"/>
      <c r="D147" s="110"/>
      <c r="E147" s="1"/>
      <c r="F147" s="1"/>
      <c r="G147" s="1"/>
      <c r="H147" s="2"/>
      <c r="I147" s="2"/>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4">
      <c r="A148" s="28"/>
      <c r="B148" s="1"/>
      <c r="C148" s="1"/>
      <c r="D148" s="110"/>
      <c r="E148" s="1"/>
      <c r="F148" s="1"/>
      <c r="G148" s="1"/>
      <c r="H148" s="2"/>
      <c r="I148" s="2"/>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4">
      <c r="A149" s="28"/>
      <c r="B149" s="1"/>
      <c r="C149" s="1"/>
      <c r="D149" s="110"/>
      <c r="E149" s="1"/>
      <c r="F149" s="1"/>
      <c r="G149" s="1"/>
      <c r="H149" s="2"/>
      <c r="I149" s="2"/>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4">
      <c r="A150" s="28"/>
      <c r="B150" s="1"/>
      <c r="C150" s="1"/>
      <c r="D150" s="110"/>
      <c r="E150" s="1"/>
      <c r="F150" s="1"/>
      <c r="G150" s="1"/>
      <c r="H150" s="2"/>
      <c r="I150" s="2"/>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4">
      <c r="A151" s="28"/>
      <c r="B151" s="1"/>
      <c r="C151" s="1"/>
      <c r="D151" s="110"/>
      <c r="E151" s="1"/>
      <c r="F151" s="1"/>
      <c r="G151" s="1"/>
      <c r="H151" s="2"/>
      <c r="I151" s="2"/>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4">
      <c r="A152" s="28"/>
      <c r="B152" s="1"/>
      <c r="C152" s="1"/>
      <c r="D152" s="110"/>
      <c r="E152" s="1"/>
      <c r="F152" s="1"/>
      <c r="G152" s="1"/>
      <c r="H152" s="2"/>
      <c r="I152" s="2"/>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4">
      <c r="A153" s="28"/>
      <c r="B153" s="1"/>
      <c r="C153" s="1"/>
      <c r="D153" s="110"/>
      <c r="E153" s="1"/>
      <c r="F153" s="1"/>
      <c r="G153" s="1"/>
      <c r="H153" s="2"/>
      <c r="I153" s="2"/>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4">
      <c r="A154" s="28"/>
      <c r="B154" s="1"/>
      <c r="C154" s="1"/>
      <c r="D154" s="110"/>
      <c r="E154" s="1"/>
      <c r="F154" s="1"/>
      <c r="G154" s="1"/>
      <c r="H154" s="2"/>
      <c r="I154" s="2"/>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4">
      <c r="A155" s="28"/>
      <c r="B155" s="1"/>
      <c r="C155" s="1"/>
      <c r="D155" s="110"/>
      <c r="E155" s="1"/>
      <c r="F155" s="1"/>
      <c r="G155" s="1"/>
      <c r="H155" s="2"/>
      <c r="I155" s="2"/>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4">
      <c r="A156" s="28"/>
      <c r="B156" s="1"/>
      <c r="C156" s="1"/>
      <c r="D156" s="110"/>
      <c r="E156" s="1"/>
      <c r="F156" s="1"/>
      <c r="G156" s="1"/>
      <c r="H156" s="2"/>
      <c r="I156" s="2"/>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4">
      <c r="A157" s="28"/>
      <c r="B157" s="1"/>
      <c r="C157" s="1"/>
      <c r="D157" s="110"/>
      <c r="E157" s="1"/>
      <c r="F157" s="1"/>
      <c r="G157" s="1"/>
      <c r="H157" s="2"/>
      <c r="I157" s="2"/>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4">
      <c r="A158" s="28"/>
      <c r="B158" s="1"/>
      <c r="C158" s="1"/>
      <c r="D158" s="110"/>
      <c r="E158" s="1"/>
      <c r="F158" s="1"/>
      <c r="G158" s="1"/>
      <c r="H158" s="2"/>
      <c r="I158" s="2"/>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4">
      <c r="A159" s="28"/>
      <c r="B159" s="1"/>
      <c r="C159" s="1"/>
      <c r="D159" s="110"/>
      <c r="E159" s="1"/>
      <c r="F159" s="1"/>
      <c r="G159" s="1"/>
      <c r="H159" s="2"/>
      <c r="I159" s="2"/>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4">
      <c r="A160" s="28"/>
      <c r="B160" s="1"/>
      <c r="C160" s="1"/>
      <c r="D160" s="110"/>
      <c r="E160" s="1"/>
      <c r="F160" s="1"/>
      <c r="G160" s="1"/>
      <c r="H160" s="2"/>
      <c r="I160" s="2"/>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4">
      <c r="A161" s="28"/>
      <c r="B161" s="1"/>
      <c r="C161" s="1"/>
      <c r="D161" s="110"/>
      <c r="E161" s="1"/>
      <c r="F161" s="1"/>
      <c r="G161" s="1"/>
      <c r="H161" s="2"/>
      <c r="I161" s="2"/>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4">
      <c r="A162" s="28"/>
      <c r="B162" s="1"/>
      <c r="C162" s="1"/>
      <c r="D162" s="110"/>
      <c r="E162" s="1"/>
      <c r="F162" s="1"/>
      <c r="G162" s="1"/>
      <c r="H162" s="2"/>
      <c r="I162" s="2"/>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4">
      <c r="A163" s="28"/>
      <c r="B163" s="1"/>
      <c r="C163" s="1"/>
      <c r="D163" s="110"/>
      <c r="E163" s="1"/>
      <c r="F163" s="1"/>
      <c r="G163" s="1"/>
      <c r="H163" s="2"/>
      <c r="I163" s="2"/>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4">
      <c r="A164" s="28"/>
      <c r="B164" s="1"/>
      <c r="C164" s="1"/>
      <c r="D164" s="110"/>
      <c r="E164" s="1"/>
      <c r="F164" s="1"/>
      <c r="G164" s="1"/>
      <c r="H164" s="2"/>
      <c r="I164" s="2"/>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4">
      <c r="A165" s="28"/>
      <c r="B165" s="1"/>
      <c r="C165" s="1"/>
      <c r="D165" s="110"/>
      <c r="E165" s="1"/>
      <c r="F165" s="1"/>
      <c r="G165" s="1"/>
      <c r="H165" s="2"/>
      <c r="I165" s="2"/>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4">
      <c r="A166" s="28"/>
      <c r="B166" s="1"/>
      <c r="C166" s="1"/>
      <c r="D166" s="110"/>
      <c r="E166" s="1"/>
      <c r="F166" s="1"/>
      <c r="G166" s="1"/>
      <c r="H166" s="2"/>
      <c r="I166" s="2"/>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4">
      <c r="A167" s="28"/>
      <c r="B167" s="1"/>
      <c r="C167" s="1"/>
      <c r="D167" s="110"/>
      <c r="E167" s="1"/>
      <c r="F167" s="1"/>
      <c r="G167" s="1"/>
      <c r="H167" s="2"/>
      <c r="I167" s="2"/>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4">
      <c r="A168" s="28"/>
      <c r="B168" s="1"/>
      <c r="C168" s="1"/>
      <c r="D168" s="110"/>
      <c r="E168" s="1"/>
      <c r="F168" s="1"/>
      <c r="G168" s="1"/>
      <c r="H168" s="2"/>
      <c r="I168" s="2"/>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4">
      <c r="A169" s="28"/>
      <c r="B169" s="1"/>
      <c r="C169" s="1"/>
      <c r="D169" s="110"/>
      <c r="E169" s="1"/>
      <c r="F169" s="1"/>
      <c r="G169" s="1"/>
      <c r="H169" s="2"/>
      <c r="I169" s="2"/>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4">
      <c r="A170" s="28"/>
      <c r="B170" s="1"/>
      <c r="C170" s="1"/>
      <c r="D170" s="110"/>
      <c r="E170" s="1"/>
      <c r="F170" s="1"/>
      <c r="G170" s="1"/>
      <c r="H170" s="2"/>
      <c r="I170" s="2"/>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4">
      <c r="A171" s="28"/>
      <c r="B171" s="1"/>
      <c r="C171" s="1"/>
      <c r="D171" s="110"/>
      <c r="E171" s="1"/>
      <c r="F171" s="1"/>
      <c r="G171" s="1"/>
      <c r="H171" s="2"/>
      <c r="I171" s="2"/>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4">
      <c r="A172" s="28"/>
      <c r="B172" s="1"/>
      <c r="C172" s="1"/>
      <c r="D172" s="110"/>
      <c r="E172" s="1"/>
      <c r="F172" s="1"/>
      <c r="G172" s="1"/>
      <c r="H172" s="2"/>
      <c r="I172" s="2"/>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4">
      <c r="A173" s="28"/>
      <c r="B173" s="1"/>
      <c r="C173" s="1"/>
      <c r="D173" s="110"/>
      <c r="E173" s="1"/>
      <c r="F173" s="1"/>
      <c r="G173" s="1"/>
      <c r="H173" s="2"/>
      <c r="I173" s="2"/>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4">
      <c r="A174" s="28"/>
      <c r="B174" s="1"/>
      <c r="C174" s="1"/>
      <c r="D174" s="110"/>
      <c r="E174" s="1"/>
      <c r="F174" s="1"/>
      <c r="G174" s="1"/>
      <c r="H174" s="2"/>
      <c r="I174" s="2"/>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4">
      <c r="A175" s="28"/>
      <c r="B175" s="1"/>
      <c r="C175" s="1"/>
      <c r="D175" s="110"/>
      <c r="E175" s="1"/>
      <c r="F175" s="1"/>
      <c r="G175" s="1"/>
      <c r="H175" s="2"/>
      <c r="I175" s="2"/>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4">
      <c r="A176" s="28"/>
      <c r="B176" s="1"/>
      <c r="C176" s="1"/>
      <c r="D176" s="110"/>
      <c r="E176" s="1"/>
      <c r="F176" s="1"/>
      <c r="G176" s="1"/>
      <c r="H176" s="2"/>
      <c r="I176" s="2"/>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4">
      <c r="A177" s="28"/>
      <c r="B177" s="1"/>
      <c r="C177" s="1"/>
      <c r="D177" s="110"/>
      <c r="E177" s="1"/>
      <c r="F177" s="1"/>
      <c r="G177" s="1"/>
      <c r="H177" s="2"/>
      <c r="I177" s="2"/>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4">
      <c r="A178" s="28"/>
      <c r="B178" s="1"/>
      <c r="C178" s="1"/>
      <c r="D178" s="110"/>
      <c r="E178" s="1"/>
      <c r="F178" s="1"/>
      <c r="G178" s="1"/>
      <c r="H178" s="2"/>
      <c r="I178" s="2"/>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4">
      <c r="A179" s="28"/>
      <c r="B179" s="1"/>
      <c r="C179" s="1"/>
      <c r="D179" s="110"/>
      <c r="E179" s="1"/>
      <c r="F179" s="1"/>
      <c r="G179" s="1"/>
      <c r="H179" s="2"/>
      <c r="I179" s="2"/>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4">
      <c r="A180" s="28"/>
      <c r="B180" s="1"/>
      <c r="C180" s="1"/>
      <c r="D180" s="110"/>
      <c r="E180" s="1"/>
      <c r="F180" s="1"/>
      <c r="G180" s="1"/>
      <c r="H180" s="2"/>
      <c r="I180" s="2"/>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4">
      <c r="A181" s="28"/>
      <c r="B181" s="1"/>
      <c r="C181" s="1"/>
      <c r="D181" s="110"/>
      <c r="E181" s="1"/>
      <c r="F181" s="1"/>
      <c r="G181" s="1"/>
      <c r="H181" s="2"/>
      <c r="I181" s="2"/>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4">
      <c r="A182" s="28"/>
      <c r="B182" s="1"/>
      <c r="C182" s="1"/>
      <c r="D182" s="110"/>
      <c r="E182" s="1"/>
      <c r="F182" s="1"/>
      <c r="G182" s="1"/>
      <c r="H182" s="2"/>
      <c r="I182" s="2"/>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4">
      <c r="A183" s="28"/>
      <c r="B183" s="1"/>
      <c r="C183" s="1"/>
      <c r="D183" s="110"/>
      <c r="E183" s="1"/>
      <c r="F183" s="1"/>
      <c r="G183" s="1"/>
      <c r="H183" s="2"/>
      <c r="I183" s="2"/>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4">
      <c r="A184" s="28"/>
      <c r="B184" s="1"/>
      <c r="C184" s="1"/>
      <c r="D184" s="110"/>
      <c r="E184" s="1"/>
      <c r="F184" s="1"/>
      <c r="G184" s="1"/>
      <c r="H184" s="2"/>
      <c r="I184" s="2"/>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4">
      <c r="A185" s="28"/>
      <c r="B185" s="1"/>
      <c r="C185" s="1"/>
      <c r="D185" s="110"/>
      <c r="E185" s="1"/>
      <c r="F185" s="1"/>
      <c r="G185" s="1"/>
      <c r="H185" s="2"/>
      <c r="I185" s="2"/>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4">
      <c r="A186" s="28"/>
      <c r="B186" s="1"/>
      <c r="C186" s="1"/>
      <c r="D186" s="110"/>
      <c r="E186" s="1"/>
      <c r="F186" s="1"/>
      <c r="G186" s="1"/>
      <c r="H186" s="2"/>
      <c r="I186" s="2"/>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4">
      <c r="A187" s="28"/>
      <c r="B187" s="1"/>
      <c r="C187" s="1"/>
      <c r="D187" s="110"/>
      <c r="E187" s="1"/>
      <c r="F187" s="1"/>
      <c r="G187" s="1"/>
      <c r="H187" s="2"/>
      <c r="I187" s="2"/>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4">
      <c r="A188" s="28"/>
      <c r="B188" s="1"/>
      <c r="C188" s="1"/>
      <c r="D188" s="110"/>
      <c r="E188" s="1"/>
      <c r="F188" s="1"/>
      <c r="G188" s="1"/>
      <c r="H188" s="2"/>
      <c r="I188" s="2"/>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4">
      <c r="A189" s="28"/>
      <c r="B189" s="1"/>
      <c r="C189" s="1"/>
      <c r="D189" s="110"/>
      <c r="E189" s="1"/>
      <c r="F189" s="1"/>
      <c r="G189" s="1"/>
      <c r="H189" s="2"/>
      <c r="I189" s="2"/>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4">
      <c r="A190" s="28"/>
      <c r="B190" s="1"/>
      <c r="C190" s="1"/>
      <c r="D190" s="110"/>
      <c r="E190" s="1"/>
      <c r="F190" s="1"/>
      <c r="G190" s="1"/>
      <c r="H190" s="2"/>
      <c r="I190" s="2"/>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4">
      <c r="A191" s="28"/>
      <c r="B191" s="1"/>
      <c r="C191" s="1"/>
      <c r="D191" s="110"/>
      <c r="E191" s="1"/>
      <c r="F191" s="1"/>
      <c r="G191" s="1"/>
      <c r="H191" s="2"/>
      <c r="I191" s="2"/>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4">
      <c r="A192" s="28"/>
      <c r="B192" s="1"/>
      <c r="C192" s="1"/>
      <c r="D192" s="110"/>
      <c r="E192" s="1"/>
      <c r="F192" s="1"/>
      <c r="G192" s="1"/>
      <c r="H192" s="2"/>
      <c r="I192" s="2"/>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4">
      <c r="A193" s="28"/>
      <c r="B193" s="1"/>
      <c r="C193" s="1"/>
      <c r="D193" s="110"/>
      <c r="E193" s="1"/>
      <c r="F193" s="1"/>
      <c r="G193" s="1"/>
      <c r="H193" s="2"/>
      <c r="I193" s="2"/>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4">
      <c r="A194" s="28"/>
      <c r="B194" s="1"/>
      <c r="C194" s="1"/>
      <c r="D194" s="110"/>
      <c r="E194" s="1"/>
      <c r="F194" s="1"/>
      <c r="G194" s="1"/>
      <c r="H194" s="2"/>
      <c r="I194" s="2"/>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4">
      <c r="A195" s="28"/>
      <c r="B195" s="1"/>
      <c r="C195" s="1"/>
      <c r="D195" s="110"/>
      <c r="E195" s="1"/>
      <c r="F195" s="1"/>
      <c r="G195" s="1"/>
      <c r="H195" s="2"/>
      <c r="I195" s="2"/>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4">
      <c r="A196" s="28"/>
      <c r="B196" s="1"/>
      <c r="C196" s="1"/>
      <c r="D196" s="110"/>
      <c r="E196" s="1"/>
      <c r="F196" s="1"/>
      <c r="G196" s="1"/>
      <c r="H196" s="2"/>
      <c r="I196" s="2"/>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4">
      <c r="A197" s="28"/>
      <c r="B197" s="1"/>
      <c r="C197" s="1"/>
      <c r="D197" s="110"/>
      <c r="E197" s="1"/>
      <c r="F197" s="1"/>
      <c r="G197" s="1"/>
      <c r="H197" s="2"/>
      <c r="I197" s="2"/>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4">
      <c r="A198" s="28"/>
      <c r="B198" s="1"/>
      <c r="C198" s="1"/>
      <c r="D198" s="110"/>
      <c r="E198" s="1"/>
      <c r="F198" s="1"/>
      <c r="G198" s="1"/>
      <c r="H198" s="2"/>
      <c r="I198" s="2"/>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4">
      <c r="A199" s="28"/>
      <c r="B199" s="1"/>
      <c r="C199" s="1"/>
      <c r="D199" s="110"/>
      <c r="E199" s="1"/>
      <c r="F199" s="1"/>
      <c r="G199" s="1"/>
      <c r="H199" s="2"/>
      <c r="I199" s="2"/>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4">
      <c r="A200" s="28"/>
      <c r="B200" s="1"/>
      <c r="C200" s="1"/>
      <c r="D200" s="110"/>
      <c r="E200" s="1"/>
      <c r="F200" s="1"/>
      <c r="G200" s="1"/>
      <c r="H200" s="2"/>
      <c r="I200" s="2"/>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4">
      <c r="A201" s="28"/>
      <c r="B201" s="1"/>
      <c r="C201" s="1"/>
      <c r="D201" s="110"/>
      <c r="E201" s="1"/>
      <c r="F201" s="1"/>
      <c r="G201" s="1"/>
      <c r="H201" s="2"/>
      <c r="I201" s="2"/>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4">
      <c r="A202" s="28"/>
      <c r="B202" s="1"/>
      <c r="C202" s="1"/>
      <c r="D202" s="110"/>
      <c r="E202" s="1"/>
      <c r="F202" s="1"/>
      <c r="G202" s="1"/>
      <c r="H202" s="2"/>
      <c r="I202" s="2"/>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4">
      <c r="A203" s="28"/>
      <c r="B203" s="1"/>
      <c r="C203" s="1"/>
      <c r="D203" s="110"/>
      <c r="E203" s="1"/>
      <c r="F203" s="1"/>
      <c r="G203" s="1"/>
      <c r="H203" s="2"/>
      <c r="I203" s="2"/>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4">
      <c r="A204" s="28"/>
      <c r="B204" s="1"/>
      <c r="C204" s="1"/>
      <c r="D204" s="110"/>
      <c r="E204" s="1"/>
      <c r="F204" s="1"/>
      <c r="G204" s="1"/>
      <c r="H204" s="2"/>
      <c r="I204" s="2"/>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4">
      <c r="A205" s="28"/>
      <c r="B205" s="1"/>
      <c r="C205" s="1"/>
      <c r="D205" s="110"/>
      <c r="E205" s="1"/>
      <c r="F205" s="1"/>
      <c r="G205" s="1"/>
      <c r="H205" s="2"/>
      <c r="I205" s="2"/>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4">
      <c r="A206" s="28"/>
      <c r="B206" s="1"/>
      <c r="C206" s="1"/>
      <c r="D206" s="110"/>
      <c r="E206" s="1"/>
      <c r="F206" s="1"/>
      <c r="G206" s="1"/>
      <c r="H206" s="2"/>
      <c r="I206" s="2"/>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4">
      <c r="A207" s="28"/>
      <c r="B207" s="1"/>
      <c r="C207" s="1"/>
      <c r="D207" s="110"/>
      <c r="E207" s="1"/>
      <c r="F207" s="1"/>
      <c r="G207" s="1"/>
      <c r="H207" s="2"/>
      <c r="I207" s="2"/>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4">
      <c r="A208" s="28"/>
      <c r="B208" s="1"/>
      <c r="C208" s="1"/>
      <c r="D208" s="110"/>
      <c r="E208" s="1"/>
      <c r="F208" s="1"/>
      <c r="G208" s="1"/>
      <c r="H208" s="2"/>
      <c r="I208" s="2"/>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4">
      <c r="A209" s="28"/>
      <c r="B209" s="1"/>
      <c r="C209" s="1"/>
      <c r="D209" s="110"/>
      <c r="E209" s="1"/>
      <c r="F209" s="1"/>
      <c r="G209" s="1"/>
      <c r="H209" s="2"/>
      <c r="I209" s="2"/>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4">
      <c r="A210" s="28"/>
      <c r="B210" s="1"/>
      <c r="C210" s="1"/>
      <c r="D210" s="110"/>
      <c r="E210" s="1"/>
      <c r="F210" s="1"/>
      <c r="G210" s="1"/>
      <c r="H210" s="2"/>
      <c r="I210" s="2"/>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4">
      <c r="A211" s="28"/>
      <c r="B211" s="1"/>
      <c r="C211" s="1"/>
      <c r="D211" s="110"/>
      <c r="E211" s="1"/>
      <c r="F211" s="1"/>
      <c r="G211" s="1"/>
      <c r="H211" s="2"/>
      <c r="I211" s="2"/>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4">
      <c r="A212" s="28"/>
      <c r="B212" s="1"/>
      <c r="C212" s="1"/>
      <c r="D212" s="110"/>
      <c r="E212" s="1"/>
      <c r="F212" s="1"/>
      <c r="G212" s="1"/>
      <c r="H212" s="2"/>
      <c r="I212" s="2"/>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4">
      <c r="A213" s="28"/>
      <c r="B213" s="1"/>
      <c r="C213" s="1"/>
      <c r="D213" s="110"/>
      <c r="E213" s="1"/>
      <c r="F213" s="1"/>
      <c r="G213" s="1"/>
      <c r="H213" s="2"/>
      <c r="I213" s="2"/>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4">
      <c r="A214" s="28"/>
      <c r="B214" s="1"/>
      <c r="C214" s="1"/>
      <c r="D214" s="110"/>
      <c r="E214" s="1"/>
      <c r="F214" s="1"/>
      <c r="G214" s="1"/>
      <c r="H214" s="2"/>
      <c r="I214" s="2"/>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4">
      <c r="A215" s="28"/>
      <c r="B215" s="1"/>
      <c r="C215" s="1"/>
      <c r="D215" s="110"/>
      <c r="E215" s="1"/>
      <c r="F215" s="1"/>
      <c r="G215" s="1"/>
      <c r="H215" s="2"/>
      <c r="I215" s="2"/>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4">
      <c r="A216" s="28"/>
      <c r="B216" s="1"/>
      <c r="C216" s="1"/>
      <c r="D216" s="110"/>
      <c r="E216" s="1"/>
      <c r="F216" s="1"/>
      <c r="G216" s="1"/>
      <c r="H216" s="2"/>
      <c r="I216" s="2"/>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4">
      <c r="A217" s="28"/>
      <c r="B217" s="1"/>
      <c r="C217" s="1"/>
      <c r="D217" s="110"/>
      <c r="E217" s="1"/>
      <c r="F217" s="1"/>
      <c r="G217" s="1"/>
      <c r="H217" s="2"/>
      <c r="I217" s="2"/>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4">
      <c r="A218" s="28"/>
      <c r="B218" s="1"/>
      <c r="C218" s="1"/>
      <c r="D218" s="110"/>
      <c r="E218" s="1"/>
      <c r="F218" s="1"/>
      <c r="G218" s="1"/>
      <c r="H218" s="2"/>
      <c r="I218" s="2"/>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4">
      <c r="A219" s="28"/>
      <c r="B219" s="1"/>
      <c r="C219" s="1"/>
      <c r="D219" s="110"/>
      <c r="E219" s="1"/>
      <c r="F219" s="1"/>
      <c r="G219" s="1"/>
      <c r="H219" s="2"/>
      <c r="I219" s="2"/>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4">
      <c r="A220" s="28"/>
      <c r="B220" s="1"/>
      <c r="C220" s="1"/>
      <c r="D220" s="110"/>
      <c r="E220" s="1"/>
      <c r="F220" s="1"/>
      <c r="G220" s="1"/>
      <c r="H220" s="2"/>
      <c r="I220" s="2"/>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4">
      <c r="A221" s="28"/>
      <c r="B221" s="1"/>
      <c r="C221" s="1"/>
      <c r="D221" s="110"/>
      <c r="E221" s="1"/>
      <c r="F221" s="1"/>
      <c r="G221" s="1"/>
      <c r="H221" s="2"/>
      <c r="I221" s="2"/>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4">
      <c r="A222" s="28"/>
      <c r="B222" s="1"/>
      <c r="C222" s="1"/>
      <c r="D222" s="110"/>
      <c r="E222" s="1"/>
      <c r="F222" s="1"/>
      <c r="G222" s="1"/>
      <c r="H222" s="2"/>
      <c r="I222" s="2"/>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4">
      <c r="A223" s="28"/>
      <c r="B223" s="1"/>
      <c r="C223" s="1"/>
      <c r="D223" s="110"/>
      <c r="E223" s="1"/>
      <c r="F223" s="1"/>
      <c r="G223" s="1"/>
      <c r="H223" s="2"/>
      <c r="I223" s="2"/>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4">
      <c r="A224" s="28"/>
      <c r="B224" s="1"/>
      <c r="C224" s="1"/>
      <c r="D224" s="110"/>
      <c r="E224" s="1"/>
      <c r="F224" s="1"/>
      <c r="G224" s="1"/>
      <c r="H224" s="2"/>
      <c r="I224" s="2"/>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4">
      <c r="A225" s="28"/>
      <c r="B225" s="1"/>
      <c r="C225" s="1"/>
      <c r="D225" s="110"/>
      <c r="E225" s="1"/>
      <c r="F225" s="1"/>
      <c r="G225" s="1"/>
      <c r="H225" s="2"/>
      <c r="I225" s="2"/>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4">
      <c r="A226" s="28"/>
      <c r="B226" s="1"/>
      <c r="C226" s="1"/>
      <c r="D226" s="110"/>
      <c r="E226" s="1"/>
      <c r="F226" s="1"/>
      <c r="G226" s="1"/>
      <c r="H226" s="2"/>
      <c r="I226" s="2"/>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4">
      <c r="A227" s="28"/>
      <c r="B227" s="1"/>
      <c r="C227" s="1"/>
      <c r="D227" s="110"/>
      <c r="E227" s="1"/>
      <c r="F227" s="1"/>
      <c r="G227" s="1"/>
      <c r="H227" s="2"/>
      <c r="I227" s="2"/>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4">
      <c r="A228" s="28"/>
      <c r="B228" s="1"/>
      <c r="C228" s="1"/>
      <c r="D228" s="110"/>
      <c r="E228" s="1"/>
      <c r="F228" s="1"/>
      <c r="G228" s="1"/>
      <c r="H228" s="2"/>
      <c r="I228" s="2"/>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4">
      <c r="A229" s="28"/>
      <c r="B229" s="1"/>
      <c r="C229" s="1"/>
      <c r="D229" s="110"/>
      <c r="E229" s="1"/>
      <c r="F229" s="1"/>
      <c r="G229" s="1"/>
      <c r="H229" s="2"/>
      <c r="I229" s="2"/>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4">
      <c r="A230" s="28"/>
      <c r="B230" s="1"/>
      <c r="C230" s="1"/>
      <c r="D230" s="110"/>
      <c r="E230" s="1"/>
      <c r="F230" s="1"/>
      <c r="G230" s="1"/>
      <c r="H230" s="2"/>
      <c r="I230" s="2"/>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4">
      <c r="A231" s="28"/>
      <c r="B231" s="1"/>
      <c r="C231" s="1"/>
      <c r="D231" s="110"/>
      <c r="E231" s="1"/>
      <c r="F231" s="1"/>
      <c r="G231" s="1"/>
      <c r="H231" s="2"/>
      <c r="I231" s="2"/>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4">
      <c r="A232" s="28"/>
      <c r="B232" s="1"/>
      <c r="C232" s="1"/>
      <c r="D232" s="110"/>
      <c r="E232" s="1"/>
      <c r="F232" s="1"/>
      <c r="G232" s="1"/>
      <c r="H232" s="2"/>
      <c r="I232" s="2"/>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4">
      <c r="A233" s="28"/>
      <c r="B233" s="1"/>
      <c r="C233" s="1"/>
      <c r="D233" s="110"/>
      <c r="E233" s="1"/>
      <c r="F233" s="1"/>
      <c r="G233" s="1"/>
      <c r="H233" s="2"/>
      <c r="I233" s="2"/>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4">
      <c r="A234" s="28"/>
      <c r="B234" s="1"/>
      <c r="C234" s="1"/>
      <c r="D234" s="110"/>
      <c r="E234" s="1"/>
      <c r="F234" s="1"/>
      <c r="G234" s="1"/>
      <c r="H234" s="2"/>
      <c r="I234" s="2"/>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4">
      <c r="A235" s="28"/>
      <c r="B235" s="1"/>
      <c r="C235" s="1"/>
      <c r="D235" s="110"/>
      <c r="E235" s="1"/>
      <c r="F235" s="1"/>
      <c r="G235" s="1"/>
      <c r="H235" s="2"/>
      <c r="I235" s="2"/>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4">
      <c r="A236" s="28"/>
      <c r="B236" s="1"/>
      <c r="C236" s="1"/>
      <c r="D236" s="110"/>
      <c r="E236" s="1"/>
      <c r="F236" s="1"/>
      <c r="G236" s="1"/>
      <c r="H236" s="2"/>
      <c r="I236" s="2"/>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4">
      <c r="A237" s="28"/>
      <c r="B237" s="1"/>
      <c r="C237" s="1"/>
      <c r="D237" s="110"/>
      <c r="E237" s="1"/>
      <c r="F237" s="1"/>
      <c r="G237" s="1"/>
      <c r="H237" s="2"/>
      <c r="I237" s="2"/>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4">
      <c r="A238" s="28"/>
      <c r="B238" s="1"/>
      <c r="C238" s="1"/>
      <c r="D238" s="110"/>
      <c r="E238" s="1"/>
      <c r="F238" s="1"/>
      <c r="G238" s="1"/>
      <c r="H238" s="2"/>
      <c r="I238" s="2"/>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4">
      <c r="A239" s="28"/>
      <c r="B239" s="1"/>
      <c r="C239" s="1"/>
      <c r="D239" s="110"/>
      <c r="E239" s="1"/>
      <c r="F239" s="1"/>
      <c r="G239" s="1"/>
      <c r="H239" s="2"/>
      <c r="I239" s="2"/>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4">
      <c r="A240" s="28"/>
      <c r="B240" s="1"/>
      <c r="C240" s="1"/>
      <c r="D240" s="110"/>
      <c r="E240" s="1"/>
      <c r="F240" s="1"/>
      <c r="G240" s="1"/>
      <c r="H240" s="2"/>
      <c r="I240" s="2"/>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4">
      <c r="A241" s="28"/>
      <c r="B241" s="1"/>
      <c r="C241" s="1"/>
      <c r="D241" s="110"/>
      <c r="E241" s="1"/>
      <c r="F241" s="1"/>
      <c r="G241" s="1"/>
      <c r="H241" s="2"/>
      <c r="I241" s="2"/>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4">
      <c r="A242" s="28"/>
      <c r="B242" s="1"/>
      <c r="C242" s="1"/>
      <c r="D242" s="110"/>
      <c r="E242" s="1"/>
      <c r="F242" s="1"/>
      <c r="G242" s="1"/>
      <c r="H242" s="2"/>
      <c r="I242" s="2"/>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4">
      <c r="A243" s="28"/>
      <c r="B243" s="1"/>
      <c r="C243" s="1"/>
      <c r="D243" s="110"/>
      <c r="E243" s="1"/>
      <c r="F243" s="1"/>
      <c r="G243" s="1"/>
      <c r="H243" s="2"/>
      <c r="I243" s="2"/>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4">
      <c r="A244" s="28"/>
      <c r="B244" s="1"/>
      <c r="C244" s="1"/>
      <c r="D244" s="110"/>
      <c r="E244" s="1"/>
      <c r="F244" s="1"/>
      <c r="G244" s="1"/>
      <c r="H244" s="2"/>
      <c r="I244" s="2"/>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4">
      <c r="A245" s="28"/>
      <c r="B245" s="1"/>
      <c r="C245" s="1"/>
      <c r="D245" s="110"/>
      <c r="E245" s="1"/>
      <c r="F245" s="1"/>
      <c r="G245" s="1"/>
      <c r="H245" s="2"/>
      <c r="I245" s="2"/>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4">
      <c r="A246" s="28"/>
      <c r="B246" s="1"/>
      <c r="C246" s="1"/>
      <c r="D246" s="110"/>
      <c r="E246" s="1"/>
      <c r="F246" s="1"/>
      <c r="G246" s="1"/>
      <c r="H246" s="2"/>
      <c r="I246" s="2"/>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4">
      <c r="A247" s="28"/>
      <c r="B247" s="1"/>
      <c r="C247" s="1"/>
      <c r="D247" s="110"/>
      <c r="E247" s="1"/>
      <c r="F247" s="1"/>
      <c r="G247" s="1"/>
      <c r="H247" s="2"/>
      <c r="I247" s="2"/>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4">
      <c r="A248" s="28"/>
      <c r="B248" s="1"/>
      <c r="C248" s="1"/>
      <c r="D248" s="110"/>
      <c r="E248" s="1"/>
      <c r="F248" s="1"/>
      <c r="G248" s="1"/>
      <c r="H248" s="2"/>
      <c r="I248" s="2"/>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4">
      <c r="A249" s="28"/>
      <c r="B249" s="1"/>
      <c r="C249" s="1"/>
      <c r="D249" s="110"/>
      <c r="E249" s="1"/>
      <c r="F249" s="1"/>
      <c r="G249" s="1"/>
      <c r="H249" s="2"/>
      <c r="I249" s="2"/>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4">
      <c r="A250" s="28"/>
      <c r="B250" s="1"/>
      <c r="C250" s="1"/>
      <c r="D250" s="110"/>
      <c r="E250" s="1"/>
      <c r="F250" s="1"/>
      <c r="G250" s="1"/>
      <c r="H250" s="2"/>
      <c r="I250" s="2"/>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4">
      <c r="A251" s="28"/>
      <c r="B251" s="1"/>
      <c r="C251" s="1"/>
      <c r="D251" s="110"/>
      <c r="E251" s="1"/>
      <c r="F251" s="1"/>
      <c r="G251" s="1"/>
      <c r="H251" s="2"/>
      <c r="I251" s="2"/>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4">
      <c r="A252" s="28"/>
      <c r="B252" s="1"/>
      <c r="C252" s="1"/>
      <c r="D252" s="110"/>
      <c r="E252" s="1"/>
      <c r="F252" s="1"/>
      <c r="G252" s="1"/>
      <c r="H252" s="2"/>
      <c r="I252" s="2"/>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4">
      <c r="A253" s="28"/>
      <c r="B253" s="1"/>
      <c r="C253" s="1"/>
      <c r="D253" s="110"/>
      <c r="E253" s="1"/>
      <c r="F253" s="1"/>
      <c r="G253" s="1"/>
      <c r="H253" s="2"/>
      <c r="I253" s="2"/>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4">
      <c r="A254" s="28"/>
      <c r="B254" s="1"/>
      <c r="C254" s="1"/>
      <c r="D254" s="110"/>
      <c r="E254" s="1"/>
      <c r="F254" s="1"/>
      <c r="G254" s="1"/>
      <c r="H254" s="2"/>
      <c r="I254" s="2"/>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4">
      <c r="A255" s="28"/>
      <c r="B255" s="1"/>
      <c r="C255" s="1"/>
      <c r="D255" s="110"/>
      <c r="E255" s="1"/>
      <c r="F255" s="1"/>
      <c r="G255" s="1"/>
      <c r="H255" s="2"/>
      <c r="I255" s="2"/>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4">
      <c r="A256" s="28"/>
      <c r="B256" s="1"/>
      <c r="C256" s="1"/>
      <c r="D256" s="110"/>
      <c r="E256" s="1"/>
      <c r="F256" s="1"/>
      <c r="G256" s="1"/>
      <c r="H256" s="2"/>
      <c r="I256" s="2"/>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4">
      <c r="A257" s="28"/>
      <c r="B257" s="1"/>
      <c r="C257" s="1"/>
      <c r="D257" s="110"/>
      <c r="E257" s="1"/>
      <c r="F257" s="1"/>
      <c r="G257" s="1"/>
      <c r="H257" s="2"/>
      <c r="I257" s="2"/>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4">
      <c r="A258" s="28"/>
      <c r="B258" s="1"/>
      <c r="C258" s="1"/>
      <c r="D258" s="110"/>
      <c r="E258" s="1"/>
      <c r="F258" s="1"/>
      <c r="G258" s="1"/>
      <c r="H258" s="2"/>
      <c r="I258" s="2"/>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4">
      <c r="A259" s="28"/>
      <c r="B259" s="1"/>
      <c r="C259" s="1"/>
      <c r="D259" s="110"/>
      <c r="E259" s="1"/>
      <c r="F259" s="1"/>
      <c r="G259" s="1"/>
      <c r="H259" s="2"/>
      <c r="I259" s="2"/>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4">
      <c r="A260" s="28"/>
      <c r="B260" s="1"/>
      <c r="C260" s="1"/>
      <c r="D260" s="110"/>
      <c r="E260" s="1"/>
      <c r="F260" s="1"/>
      <c r="G260" s="1"/>
      <c r="H260" s="2"/>
      <c r="I260" s="2"/>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4">
      <c r="A261" s="28"/>
      <c r="B261" s="1"/>
      <c r="C261" s="1"/>
      <c r="D261" s="110"/>
      <c r="E261" s="1"/>
      <c r="F261" s="1"/>
      <c r="G261" s="1"/>
      <c r="H261" s="2"/>
      <c r="I261" s="2"/>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4">
      <c r="A262" s="28"/>
      <c r="B262" s="1"/>
      <c r="C262" s="1"/>
      <c r="D262" s="110"/>
      <c r="E262" s="1"/>
      <c r="F262" s="1"/>
      <c r="G262" s="1"/>
      <c r="H262" s="2"/>
      <c r="I262" s="2"/>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4">
      <c r="A263" s="28"/>
      <c r="B263" s="1"/>
      <c r="C263" s="1"/>
      <c r="D263" s="110"/>
      <c r="E263" s="1"/>
      <c r="F263" s="1"/>
      <c r="G263" s="1"/>
      <c r="H263" s="2"/>
      <c r="I263" s="2"/>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4">
      <c r="A264" s="28"/>
      <c r="B264" s="1"/>
      <c r="C264" s="1"/>
      <c r="D264" s="110"/>
      <c r="E264" s="1"/>
      <c r="F264" s="1"/>
      <c r="G264" s="1"/>
      <c r="H264" s="2"/>
      <c r="I264" s="2"/>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4">
      <c r="A265" s="28"/>
      <c r="B265" s="1"/>
      <c r="C265" s="1"/>
      <c r="D265" s="110"/>
      <c r="E265" s="1"/>
      <c r="F265" s="1"/>
      <c r="G265" s="1"/>
      <c r="H265" s="2"/>
      <c r="I265" s="2"/>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4">
      <c r="A266" s="28"/>
      <c r="B266" s="1"/>
      <c r="C266" s="1"/>
      <c r="D266" s="110"/>
      <c r="E266" s="1"/>
      <c r="F266" s="1"/>
      <c r="G266" s="1"/>
      <c r="H266" s="2"/>
      <c r="I266" s="2"/>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4">
      <c r="A267" s="28"/>
      <c r="B267" s="1"/>
      <c r="C267" s="1"/>
      <c r="D267" s="110"/>
      <c r="E267" s="1"/>
      <c r="F267" s="1"/>
      <c r="G267" s="1"/>
      <c r="H267" s="2"/>
      <c r="I267" s="2"/>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4">
      <c r="A268" s="28"/>
      <c r="B268" s="1"/>
      <c r="C268" s="1"/>
      <c r="D268" s="110"/>
      <c r="E268" s="1"/>
      <c r="F268" s="1"/>
      <c r="G268" s="1"/>
      <c r="H268" s="2"/>
      <c r="I268" s="2"/>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4">
      <c r="A269" s="28"/>
      <c r="B269" s="1"/>
      <c r="C269" s="1"/>
      <c r="D269" s="110"/>
      <c r="E269" s="1"/>
      <c r="F269" s="1"/>
      <c r="G269" s="1"/>
      <c r="H269" s="2"/>
      <c r="I269" s="2"/>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4">
      <c r="A270" s="28"/>
      <c r="B270" s="1"/>
      <c r="C270" s="1"/>
      <c r="D270" s="110"/>
      <c r="E270" s="1"/>
      <c r="F270" s="1"/>
      <c r="G270" s="1"/>
      <c r="H270" s="2"/>
      <c r="I270" s="2"/>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4">
      <c r="A271" s="28"/>
      <c r="B271" s="1"/>
      <c r="C271" s="1"/>
      <c r="D271" s="110"/>
      <c r="E271" s="1"/>
      <c r="F271" s="1"/>
      <c r="G271" s="1"/>
      <c r="H271" s="2"/>
      <c r="I271" s="2"/>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4">
      <c r="A272" s="28"/>
      <c r="B272" s="1"/>
      <c r="C272" s="1"/>
      <c r="D272" s="110"/>
      <c r="E272" s="1"/>
      <c r="F272" s="1"/>
      <c r="G272" s="1"/>
      <c r="H272" s="2"/>
      <c r="I272" s="2"/>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4">
      <c r="A273" s="28"/>
      <c r="B273" s="1"/>
      <c r="C273" s="1"/>
      <c r="D273" s="110"/>
      <c r="E273" s="1"/>
      <c r="F273" s="1"/>
      <c r="G273" s="1"/>
      <c r="H273" s="2"/>
      <c r="I273" s="2"/>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4">
      <c r="A274" s="28"/>
      <c r="B274" s="1"/>
      <c r="C274" s="1"/>
      <c r="D274" s="110"/>
      <c r="E274" s="1"/>
      <c r="F274" s="1"/>
      <c r="G274" s="1"/>
      <c r="H274" s="2"/>
      <c r="I274" s="2"/>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4">
      <c r="A275" s="28"/>
      <c r="B275" s="1"/>
      <c r="C275" s="1"/>
      <c r="D275" s="110"/>
      <c r="E275" s="1"/>
      <c r="F275" s="1"/>
      <c r="G275" s="1"/>
      <c r="H275" s="2"/>
      <c r="I275" s="2"/>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4">
      <c r="A276" s="28"/>
      <c r="B276" s="1"/>
      <c r="C276" s="1"/>
      <c r="D276" s="110"/>
      <c r="E276" s="1"/>
      <c r="F276" s="1"/>
      <c r="G276" s="1"/>
      <c r="H276" s="2"/>
      <c r="I276" s="2"/>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4">
      <c r="A277" s="28"/>
      <c r="B277" s="1"/>
      <c r="C277" s="1"/>
      <c r="D277" s="110"/>
      <c r="E277" s="1"/>
      <c r="F277" s="1"/>
      <c r="G277" s="1"/>
      <c r="H277" s="2"/>
      <c r="I277" s="2"/>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4">
      <c r="A278" s="28"/>
      <c r="B278" s="1"/>
      <c r="C278" s="1"/>
      <c r="D278" s="110"/>
      <c r="E278" s="1"/>
      <c r="F278" s="1"/>
      <c r="G278" s="1"/>
      <c r="H278" s="2"/>
      <c r="I278" s="2"/>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4">
      <c r="A279" s="28"/>
      <c r="B279" s="1"/>
      <c r="C279" s="1"/>
      <c r="D279" s="110"/>
      <c r="E279" s="1"/>
      <c r="F279" s="1"/>
      <c r="G279" s="1"/>
      <c r="H279" s="2"/>
      <c r="I279" s="2"/>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4">
      <c r="A280" s="28"/>
      <c r="B280" s="1"/>
      <c r="C280" s="1"/>
      <c r="D280" s="110"/>
      <c r="E280" s="1"/>
      <c r="F280" s="1"/>
      <c r="G280" s="1"/>
      <c r="H280" s="2"/>
      <c r="I280" s="2"/>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4">
      <c r="A281" s="28"/>
      <c r="B281" s="1"/>
      <c r="C281" s="1"/>
      <c r="D281" s="110"/>
      <c r="E281" s="1"/>
      <c r="F281" s="1"/>
      <c r="G281" s="1"/>
      <c r="H281" s="2"/>
      <c r="I281" s="2"/>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4">
      <c r="A282" s="28"/>
      <c r="B282" s="1"/>
      <c r="C282" s="1"/>
      <c r="D282" s="110"/>
      <c r="E282" s="1"/>
      <c r="F282" s="1"/>
      <c r="G282" s="1"/>
      <c r="H282" s="2"/>
      <c r="I282" s="2"/>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4">
      <c r="A283" s="28"/>
      <c r="B283" s="1"/>
      <c r="C283" s="1"/>
      <c r="D283" s="110"/>
      <c r="E283" s="1"/>
      <c r="F283" s="1"/>
      <c r="G283" s="1"/>
      <c r="H283" s="2"/>
      <c r="I283" s="2"/>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4">
      <c r="A284" s="28"/>
      <c r="B284" s="1"/>
      <c r="C284" s="1"/>
      <c r="D284" s="110"/>
      <c r="E284" s="1"/>
      <c r="F284" s="1"/>
      <c r="G284" s="1"/>
      <c r="H284" s="2"/>
      <c r="I284" s="2"/>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4">
      <c r="A285" s="28"/>
      <c r="B285" s="1"/>
      <c r="C285" s="1"/>
      <c r="D285" s="110"/>
      <c r="E285" s="1"/>
      <c r="F285" s="1"/>
      <c r="G285" s="1"/>
      <c r="H285" s="2"/>
      <c r="I285" s="2"/>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4">
      <c r="A286" s="28"/>
      <c r="B286" s="1"/>
      <c r="C286" s="1"/>
      <c r="D286" s="110"/>
      <c r="E286" s="1"/>
      <c r="F286" s="1"/>
      <c r="G286" s="1"/>
      <c r="H286" s="2"/>
      <c r="I286" s="2"/>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4">
      <c r="A287" s="28"/>
      <c r="B287" s="1"/>
      <c r="C287" s="1"/>
      <c r="D287" s="110"/>
      <c r="E287" s="1"/>
      <c r="F287" s="1"/>
      <c r="G287" s="1"/>
      <c r="H287" s="2"/>
      <c r="I287" s="2"/>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4">
      <c r="A288" s="28"/>
      <c r="B288" s="1"/>
      <c r="C288" s="1"/>
      <c r="D288" s="110"/>
      <c r="E288" s="1"/>
      <c r="F288" s="1"/>
      <c r="G288" s="1"/>
      <c r="H288" s="2"/>
      <c r="I288" s="2"/>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4">
      <c r="A289" s="28"/>
      <c r="B289" s="1"/>
      <c r="C289" s="1"/>
      <c r="D289" s="110"/>
      <c r="E289" s="1"/>
      <c r="F289" s="1"/>
      <c r="G289" s="1"/>
      <c r="H289" s="2"/>
      <c r="I289" s="2"/>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4">
      <c r="A290" s="28"/>
      <c r="B290" s="1"/>
      <c r="C290" s="1"/>
      <c r="D290" s="110"/>
      <c r="E290" s="1"/>
      <c r="F290" s="1"/>
      <c r="G290" s="1"/>
      <c r="H290" s="2"/>
      <c r="I290" s="2"/>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4">
      <c r="A291" s="28"/>
      <c r="B291" s="1"/>
      <c r="C291" s="1"/>
      <c r="D291" s="110"/>
      <c r="E291" s="1"/>
      <c r="F291" s="1"/>
      <c r="G291" s="1"/>
      <c r="H291" s="2"/>
      <c r="I291" s="2"/>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4">
      <c r="A292" s="28"/>
      <c r="B292" s="1"/>
      <c r="C292" s="1"/>
      <c r="D292" s="110"/>
      <c r="E292" s="1"/>
      <c r="F292" s="1"/>
      <c r="G292" s="1"/>
      <c r="H292" s="2"/>
      <c r="I292" s="2"/>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4">
      <c r="A293" s="28"/>
      <c r="B293" s="1"/>
      <c r="C293" s="1"/>
      <c r="D293" s="110"/>
      <c r="E293" s="1"/>
      <c r="F293" s="1"/>
      <c r="G293" s="1"/>
      <c r="H293" s="2"/>
      <c r="I293" s="2"/>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4">
      <c r="A294" s="28"/>
      <c r="B294" s="1"/>
      <c r="C294" s="1"/>
      <c r="D294" s="110"/>
      <c r="E294" s="1"/>
      <c r="F294" s="1"/>
      <c r="G294" s="1"/>
      <c r="H294" s="2"/>
      <c r="I294" s="2"/>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4">
      <c r="A295" s="28"/>
      <c r="B295" s="1"/>
      <c r="C295" s="1"/>
      <c r="D295" s="110"/>
      <c r="E295" s="1"/>
      <c r="F295" s="1"/>
      <c r="G295" s="1"/>
      <c r="H295" s="2"/>
      <c r="I295" s="2"/>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4">
      <c r="A296" s="28"/>
      <c r="B296" s="1"/>
      <c r="C296" s="1"/>
      <c r="D296" s="110"/>
      <c r="E296" s="1"/>
      <c r="F296" s="1"/>
      <c r="G296" s="1"/>
      <c r="H296" s="2"/>
      <c r="I296" s="2"/>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4">
      <c r="A297" s="28"/>
      <c r="B297" s="1"/>
      <c r="C297" s="1"/>
      <c r="D297" s="110"/>
      <c r="E297" s="1"/>
      <c r="F297" s="1"/>
      <c r="G297" s="1"/>
      <c r="H297" s="2"/>
      <c r="I297" s="2"/>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4">
      <c r="A298" s="28"/>
      <c r="B298" s="1"/>
      <c r="C298" s="1"/>
      <c r="D298" s="110"/>
      <c r="E298" s="1"/>
      <c r="F298" s="1"/>
      <c r="G298" s="1"/>
      <c r="H298" s="2"/>
      <c r="I298" s="2"/>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4">
      <c r="A299" s="28"/>
      <c r="B299" s="1"/>
      <c r="C299" s="1"/>
      <c r="D299" s="110"/>
      <c r="E299" s="1"/>
      <c r="F299" s="1"/>
      <c r="G299" s="1"/>
      <c r="H299" s="2"/>
      <c r="I299" s="2"/>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4">
      <c r="A300" s="28"/>
      <c r="B300" s="1"/>
      <c r="C300" s="1"/>
      <c r="D300" s="110"/>
      <c r="E300" s="1"/>
      <c r="F300" s="1"/>
      <c r="G300" s="1"/>
      <c r="H300" s="2"/>
      <c r="I300" s="2"/>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4">
      <c r="A301" s="28"/>
      <c r="B301" s="1"/>
      <c r="C301" s="1"/>
      <c r="D301" s="110"/>
      <c r="E301" s="1"/>
      <c r="F301" s="1"/>
      <c r="G301" s="1"/>
      <c r="H301" s="2"/>
      <c r="I301" s="2"/>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4">
      <c r="A302" s="28"/>
      <c r="B302" s="1"/>
      <c r="C302" s="1"/>
      <c r="D302" s="110"/>
      <c r="E302" s="1"/>
      <c r="F302" s="1"/>
      <c r="G302" s="1"/>
      <c r="H302" s="2"/>
      <c r="I302" s="2"/>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4">
      <c r="A303" s="28"/>
      <c r="B303" s="1"/>
      <c r="C303" s="1"/>
      <c r="D303" s="110"/>
      <c r="E303" s="1"/>
      <c r="F303" s="1"/>
      <c r="G303" s="1"/>
      <c r="H303" s="2"/>
      <c r="I303" s="2"/>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4">
      <c r="A304" s="28"/>
      <c r="B304" s="1"/>
      <c r="C304" s="1"/>
      <c r="D304" s="110"/>
      <c r="E304" s="1"/>
      <c r="F304" s="1"/>
      <c r="G304" s="1"/>
      <c r="H304" s="2"/>
      <c r="I304" s="2"/>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4">
      <c r="A305" s="28"/>
      <c r="B305" s="1"/>
      <c r="C305" s="1"/>
      <c r="D305" s="110"/>
      <c r="E305" s="1"/>
      <c r="F305" s="1"/>
      <c r="G305" s="1"/>
      <c r="H305" s="2"/>
      <c r="I305" s="2"/>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4">
      <c r="A306" s="28"/>
      <c r="B306" s="1"/>
      <c r="C306" s="1"/>
      <c r="D306" s="110"/>
      <c r="E306" s="1"/>
      <c r="F306" s="1"/>
      <c r="G306" s="1"/>
      <c r="H306" s="2"/>
      <c r="I306" s="2"/>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4">
      <c r="A307" s="28"/>
      <c r="B307" s="1"/>
      <c r="C307" s="1"/>
      <c r="D307" s="110"/>
      <c r="E307" s="1"/>
      <c r="F307" s="1"/>
      <c r="G307" s="1"/>
      <c r="H307" s="2"/>
      <c r="I307" s="2"/>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4">
      <c r="A308" s="28"/>
      <c r="B308" s="1"/>
      <c r="C308" s="1"/>
      <c r="D308" s="110"/>
      <c r="E308" s="1"/>
      <c r="F308" s="1"/>
      <c r="G308" s="1"/>
      <c r="H308" s="2"/>
      <c r="I308" s="2"/>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4">
      <c r="A309" s="28"/>
      <c r="B309" s="1"/>
      <c r="C309" s="1"/>
      <c r="D309" s="110"/>
      <c r="E309" s="1"/>
      <c r="F309" s="1"/>
      <c r="G309" s="1"/>
      <c r="H309" s="2"/>
      <c r="I309" s="2"/>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4">
      <c r="A310" s="28"/>
      <c r="B310" s="1"/>
      <c r="C310" s="1"/>
      <c r="D310" s="110"/>
      <c r="E310" s="1"/>
      <c r="F310" s="1"/>
      <c r="G310" s="1"/>
      <c r="H310" s="2"/>
      <c r="I310" s="2"/>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4">
      <c r="A311" s="28"/>
      <c r="B311" s="1"/>
      <c r="C311" s="1"/>
      <c r="D311" s="110"/>
      <c r="E311" s="1"/>
      <c r="F311" s="1"/>
      <c r="G311" s="1"/>
      <c r="H311" s="2"/>
      <c r="I311" s="2"/>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4">
      <c r="A312" s="28"/>
      <c r="B312" s="1"/>
      <c r="C312" s="1"/>
      <c r="D312" s="110"/>
      <c r="E312" s="1"/>
      <c r="F312" s="1"/>
      <c r="G312" s="1"/>
      <c r="H312" s="2"/>
      <c r="I312" s="2"/>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4">
      <c r="A313" s="28"/>
      <c r="B313" s="1"/>
      <c r="C313" s="1"/>
      <c r="D313" s="110"/>
      <c r="E313" s="1"/>
      <c r="F313" s="1"/>
      <c r="G313" s="1"/>
      <c r="H313" s="2"/>
      <c r="I313" s="2"/>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4">
      <c r="A314" s="28"/>
      <c r="B314" s="1"/>
      <c r="C314" s="1"/>
      <c r="D314" s="110"/>
      <c r="E314" s="1"/>
      <c r="F314" s="1"/>
      <c r="G314" s="1"/>
      <c r="H314" s="2"/>
      <c r="I314" s="2"/>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4">
      <c r="A315" s="28"/>
      <c r="B315" s="1"/>
      <c r="C315" s="1"/>
      <c r="D315" s="110"/>
      <c r="E315" s="1"/>
      <c r="F315" s="1"/>
      <c r="G315" s="1"/>
      <c r="H315" s="2"/>
      <c r="I315" s="2"/>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4">
      <c r="A316" s="28"/>
      <c r="B316" s="1"/>
      <c r="C316" s="1"/>
      <c r="D316" s="110"/>
      <c r="E316" s="1"/>
      <c r="F316" s="1"/>
      <c r="G316" s="1"/>
      <c r="H316" s="2"/>
      <c r="I316" s="2"/>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4">
      <c r="A317" s="28"/>
      <c r="B317" s="1"/>
      <c r="C317" s="1"/>
      <c r="D317" s="110"/>
      <c r="E317" s="1"/>
      <c r="F317" s="1"/>
      <c r="G317" s="1"/>
      <c r="H317" s="2"/>
      <c r="I317" s="2"/>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4">
      <c r="A318" s="28"/>
      <c r="B318" s="1"/>
      <c r="C318" s="1"/>
      <c r="D318" s="110"/>
      <c r="E318" s="1"/>
      <c r="F318" s="1"/>
      <c r="G318" s="1"/>
      <c r="H318" s="2"/>
      <c r="I318" s="2"/>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4">
      <c r="A319" s="28"/>
      <c r="B319" s="1"/>
      <c r="C319" s="1"/>
      <c r="D319" s="110"/>
      <c r="E319" s="1"/>
      <c r="F319" s="1"/>
      <c r="G319" s="1"/>
      <c r="H319" s="2"/>
      <c r="I319" s="2"/>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4">
      <c r="A320" s="28"/>
      <c r="B320" s="1"/>
      <c r="C320" s="1"/>
      <c r="D320" s="110"/>
      <c r="E320" s="1"/>
      <c r="F320" s="1"/>
      <c r="G320" s="1"/>
      <c r="H320" s="2"/>
      <c r="I320" s="2"/>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4">
      <c r="A321" s="28"/>
      <c r="B321" s="1"/>
      <c r="C321" s="1"/>
      <c r="D321" s="110"/>
      <c r="E321" s="1"/>
      <c r="F321" s="1"/>
      <c r="G321" s="1"/>
      <c r="H321" s="2"/>
      <c r="I321" s="2"/>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4">
      <c r="A322" s="28"/>
      <c r="B322" s="1"/>
      <c r="C322" s="1"/>
      <c r="D322" s="110"/>
      <c r="E322" s="1"/>
      <c r="F322" s="1"/>
      <c r="G322" s="1"/>
      <c r="H322" s="2"/>
      <c r="I322" s="2"/>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4">
      <c r="A323" s="28"/>
      <c r="B323" s="1"/>
      <c r="C323" s="1"/>
      <c r="D323" s="110"/>
      <c r="E323" s="1"/>
      <c r="F323" s="1"/>
      <c r="G323" s="1"/>
      <c r="H323" s="2"/>
      <c r="I323" s="2"/>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4">
      <c r="A324" s="28"/>
      <c r="B324" s="1"/>
      <c r="C324" s="1"/>
      <c r="D324" s="110"/>
      <c r="E324" s="1"/>
      <c r="F324" s="1"/>
      <c r="G324" s="1"/>
      <c r="H324" s="2"/>
      <c r="I324" s="2"/>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4">
      <c r="A325" s="28"/>
      <c r="B325" s="1"/>
      <c r="C325" s="1"/>
      <c r="D325" s="110"/>
      <c r="E325" s="1"/>
      <c r="F325" s="1"/>
      <c r="G325" s="1"/>
      <c r="H325" s="2"/>
      <c r="I325" s="2"/>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4">
      <c r="A326" s="28"/>
      <c r="B326" s="1"/>
      <c r="C326" s="1"/>
      <c r="D326" s="110"/>
      <c r="E326" s="1"/>
      <c r="F326" s="1"/>
      <c r="G326" s="1"/>
      <c r="H326" s="2"/>
      <c r="I326" s="2"/>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4">
      <c r="A327" s="28"/>
      <c r="B327" s="1"/>
      <c r="C327" s="1"/>
      <c r="D327" s="110"/>
      <c r="E327" s="1"/>
      <c r="F327" s="1"/>
      <c r="G327" s="1"/>
      <c r="H327" s="2"/>
      <c r="I327" s="2"/>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4">
      <c r="A328" s="28"/>
      <c r="B328" s="1"/>
      <c r="C328" s="1"/>
      <c r="D328" s="110"/>
      <c r="E328" s="1"/>
      <c r="F328" s="1"/>
      <c r="G328" s="1"/>
      <c r="H328" s="2"/>
      <c r="I328" s="2"/>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4">
      <c r="A329" s="28"/>
      <c r="B329" s="1"/>
      <c r="C329" s="1"/>
      <c r="D329" s="110"/>
      <c r="E329" s="1"/>
      <c r="F329" s="1"/>
      <c r="G329" s="1"/>
      <c r="H329" s="2"/>
      <c r="I329" s="2"/>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4">
      <c r="A330" s="28"/>
      <c r="B330" s="1"/>
      <c r="C330" s="1"/>
      <c r="D330" s="110"/>
      <c r="E330" s="1"/>
      <c r="F330" s="1"/>
      <c r="G330" s="1"/>
      <c r="H330" s="2"/>
      <c r="I330" s="2"/>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4">
      <c r="A331" s="28"/>
      <c r="B331" s="1"/>
      <c r="C331" s="1"/>
      <c r="D331" s="110"/>
      <c r="E331" s="1"/>
      <c r="F331" s="1"/>
      <c r="G331" s="1"/>
      <c r="H331" s="2"/>
      <c r="I331" s="2"/>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4">
      <c r="A332" s="28"/>
      <c r="B332" s="1"/>
      <c r="C332" s="1"/>
      <c r="D332" s="110"/>
      <c r="E332" s="1"/>
      <c r="F332" s="1"/>
      <c r="G332" s="1"/>
      <c r="H332" s="2"/>
      <c r="I332" s="2"/>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4">
      <c r="A333" s="28"/>
      <c r="B333" s="1"/>
      <c r="C333" s="1"/>
      <c r="D333" s="110"/>
      <c r="E333" s="1"/>
      <c r="F333" s="1"/>
      <c r="G333" s="1"/>
      <c r="H333" s="2"/>
      <c r="I333" s="2"/>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4">
      <c r="A334" s="28"/>
      <c r="B334" s="1"/>
      <c r="C334" s="1"/>
      <c r="D334" s="110"/>
      <c r="E334" s="1"/>
      <c r="F334" s="1"/>
      <c r="G334" s="1"/>
      <c r="H334" s="2"/>
      <c r="I334" s="2"/>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4">
      <c r="A335" s="28"/>
      <c r="B335" s="1"/>
      <c r="C335" s="1"/>
      <c r="D335" s="110"/>
      <c r="E335" s="1"/>
      <c r="F335" s="1"/>
      <c r="G335" s="1"/>
      <c r="H335" s="2"/>
      <c r="I335" s="2"/>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4">
      <c r="A336" s="28"/>
      <c r="B336" s="1"/>
      <c r="C336" s="1"/>
      <c r="D336" s="110"/>
      <c r="E336" s="1"/>
      <c r="F336" s="1"/>
      <c r="G336" s="1"/>
      <c r="H336" s="2"/>
      <c r="I336" s="2"/>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4">
      <c r="A337" s="28"/>
      <c r="B337" s="1"/>
      <c r="C337" s="1"/>
      <c r="D337" s="110"/>
      <c r="E337" s="1"/>
      <c r="F337" s="1"/>
      <c r="G337" s="1"/>
      <c r="H337" s="2"/>
      <c r="I337" s="2"/>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4">
      <c r="A338" s="28"/>
      <c r="B338" s="1"/>
      <c r="C338" s="1"/>
      <c r="D338" s="110"/>
      <c r="E338" s="1"/>
      <c r="F338" s="1"/>
      <c r="G338" s="1"/>
      <c r="H338" s="2"/>
      <c r="I338" s="2"/>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4">
      <c r="A339" s="28"/>
      <c r="B339" s="1"/>
      <c r="C339" s="1"/>
      <c r="D339" s="110"/>
      <c r="E339" s="1"/>
      <c r="F339" s="1"/>
      <c r="G339" s="1"/>
      <c r="H339" s="2"/>
      <c r="I339" s="2"/>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4">
      <c r="A340" s="28"/>
      <c r="B340" s="1"/>
      <c r="C340" s="1"/>
      <c r="D340" s="110"/>
      <c r="E340" s="1"/>
      <c r="F340" s="1"/>
      <c r="G340" s="1"/>
      <c r="H340" s="2"/>
      <c r="I340" s="2"/>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4">
      <c r="A341" s="28"/>
      <c r="B341" s="1"/>
      <c r="C341" s="1"/>
      <c r="D341" s="110"/>
      <c r="E341" s="1"/>
      <c r="F341" s="1"/>
      <c r="G341" s="1"/>
      <c r="H341" s="2"/>
      <c r="I341" s="2"/>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4">
      <c r="A342" s="28"/>
      <c r="B342" s="1"/>
      <c r="C342" s="1"/>
      <c r="D342" s="110"/>
      <c r="E342" s="1"/>
      <c r="F342" s="1"/>
      <c r="G342" s="1"/>
      <c r="H342" s="2"/>
      <c r="I342" s="2"/>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4">
      <c r="A343" s="28"/>
      <c r="B343" s="1"/>
      <c r="C343" s="1"/>
      <c r="D343" s="110"/>
      <c r="E343" s="1"/>
      <c r="F343" s="1"/>
      <c r="G343" s="1"/>
      <c r="H343" s="2"/>
      <c r="I343" s="2"/>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4">
      <c r="A344" s="28"/>
      <c r="B344" s="1"/>
      <c r="C344" s="1"/>
      <c r="D344" s="110"/>
      <c r="E344" s="1"/>
      <c r="F344" s="1"/>
      <c r="G344" s="1"/>
      <c r="H344" s="2"/>
      <c r="I344" s="2"/>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4">
      <c r="A345" s="28"/>
      <c r="B345" s="1"/>
      <c r="C345" s="1"/>
      <c r="D345" s="110"/>
      <c r="E345" s="1"/>
      <c r="F345" s="1"/>
      <c r="G345" s="1"/>
      <c r="H345" s="2"/>
      <c r="I345" s="2"/>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4">
      <c r="A346" s="28"/>
      <c r="B346" s="1"/>
      <c r="C346" s="1"/>
      <c r="D346" s="110"/>
      <c r="E346" s="1"/>
      <c r="F346" s="1"/>
      <c r="G346" s="1"/>
      <c r="H346" s="2"/>
      <c r="I346" s="2"/>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4">
      <c r="A347" s="28"/>
      <c r="B347" s="1"/>
      <c r="C347" s="1"/>
      <c r="D347" s="110"/>
      <c r="E347" s="1"/>
      <c r="F347" s="1"/>
      <c r="G347" s="1"/>
      <c r="H347" s="2"/>
      <c r="I347" s="2"/>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4">
      <c r="A348" s="28"/>
      <c r="B348" s="1"/>
      <c r="C348" s="1"/>
      <c r="D348" s="110"/>
      <c r="E348" s="1"/>
      <c r="F348" s="1"/>
      <c r="G348" s="1"/>
      <c r="H348" s="2"/>
      <c r="I348" s="2"/>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4">
      <c r="A349" s="28"/>
      <c r="B349" s="1"/>
      <c r="C349" s="1"/>
      <c r="D349" s="110"/>
      <c r="E349" s="1"/>
      <c r="F349" s="1"/>
      <c r="G349" s="1"/>
      <c r="H349" s="2"/>
      <c r="I349" s="2"/>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4">
      <c r="A350" s="28"/>
      <c r="B350" s="1"/>
      <c r="C350" s="1"/>
      <c r="D350" s="110"/>
      <c r="E350" s="1"/>
      <c r="F350" s="1"/>
      <c r="G350" s="1"/>
      <c r="H350" s="2"/>
      <c r="I350" s="2"/>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4">
      <c r="A351" s="28"/>
      <c r="B351" s="1"/>
      <c r="C351" s="1"/>
      <c r="D351" s="110"/>
      <c r="E351" s="1"/>
      <c r="F351" s="1"/>
      <c r="G351" s="1"/>
      <c r="H351" s="2"/>
      <c r="I351" s="2"/>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4">
      <c r="A352" s="28"/>
      <c r="B352" s="1"/>
      <c r="C352" s="1"/>
      <c r="D352" s="110"/>
      <c r="E352" s="1"/>
      <c r="F352" s="1"/>
      <c r="G352" s="1"/>
      <c r="H352" s="2"/>
      <c r="I352" s="2"/>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4">
      <c r="A353" s="28"/>
      <c r="B353" s="1"/>
      <c r="C353" s="1"/>
      <c r="D353" s="110"/>
      <c r="E353" s="1"/>
      <c r="F353" s="1"/>
      <c r="G353" s="1"/>
      <c r="H353" s="2"/>
      <c r="I353" s="2"/>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4">
      <c r="A354" s="28"/>
      <c r="B354" s="1"/>
      <c r="C354" s="1"/>
      <c r="D354" s="110"/>
      <c r="E354" s="1"/>
      <c r="F354" s="1"/>
      <c r="G354" s="1"/>
      <c r="H354" s="2"/>
      <c r="I354" s="2"/>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4">
      <c r="A355" s="28"/>
      <c r="B355" s="1"/>
      <c r="C355" s="1"/>
      <c r="D355" s="110"/>
      <c r="E355" s="1"/>
      <c r="F355" s="1"/>
      <c r="G355" s="1"/>
      <c r="H355" s="2"/>
      <c r="I355" s="2"/>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4">
      <c r="A356" s="28"/>
      <c r="B356" s="1"/>
      <c r="C356" s="1"/>
      <c r="D356" s="110"/>
      <c r="E356" s="1"/>
      <c r="F356" s="1"/>
      <c r="G356" s="1"/>
      <c r="H356" s="2"/>
      <c r="I356" s="2"/>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4">
      <c r="A357" s="28"/>
      <c r="B357" s="1"/>
      <c r="C357" s="1"/>
      <c r="D357" s="110"/>
      <c r="E357" s="1"/>
      <c r="F357" s="1"/>
      <c r="G357" s="1"/>
      <c r="H357" s="2"/>
      <c r="I357" s="2"/>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4">
      <c r="A358" s="28"/>
      <c r="B358" s="1"/>
      <c r="C358" s="1"/>
      <c r="D358" s="110"/>
      <c r="E358" s="1"/>
      <c r="F358" s="1"/>
      <c r="G358" s="1"/>
      <c r="H358" s="2"/>
      <c r="I358" s="2"/>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4">
      <c r="A359" s="28"/>
      <c r="B359" s="1"/>
      <c r="C359" s="1"/>
      <c r="D359" s="110"/>
      <c r="E359" s="1"/>
      <c r="F359" s="1"/>
      <c r="G359" s="1"/>
      <c r="H359" s="2"/>
      <c r="I359" s="2"/>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4">
      <c r="A360" s="28"/>
      <c r="B360" s="1"/>
      <c r="C360" s="1"/>
      <c r="D360" s="110"/>
      <c r="E360" s="1"/>
      <c r="F360" s="1"/>
      <c r="G360" s="1"/>
      <c r="H360" s="2"/>
      <c r="I360" s="2"/>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4">
      <c r="A361" s="28"/>
      <c r="B361" s="1"/>
      <c r="C361" s="1"/>
      <c r="D361" s="110"/>
      <c r="E361" s="1"/>
      <c r="F361" s="1"/>
      <c r="G361" s="1"/>
      <c r="H361" s="2"/>
      <c r="I361" s="2"/>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4">
      <c r="A362" s="28"/>
      <c r="B362" s="1"/>
      <c r="C362" s="1"/>
      <c r="D362" s="110"/>
      <c r="E362" s="1"/>
      <c r="F362" s="1"/>
      <c r="G362" s="1"/>
      <c r="H362" s="2"/>
      <c r="I362" s="2"/>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4">
      <c r="A363" s="28"/>
      <c r="B363" s="1"/>
      <c r="C363" s="1"/>
      <c r="D363" s="110"/>
      <c r="E363" s="1"/>
      <c r="F363" s="1"/>
      <c r="G363" s="1"/>
      <c r="H363" s="2"/>
      <c r="I363" s="2"/>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4">
      <c r="A364" s="28"/>
      <c r="B364" s="1"/>
      <c r="C364" s="1"/>
      <c r="D364" s="110"/>
      <c r="E364" s="1"/>
      <c r="F364" s="1"/>
      <c r="G364" s="1"/>
      <c r="H364" s="2"/>
      <c r="I364" s="2"/>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4">
      <c r="A365" s="28"/>
      <c r="B365" s="1"/>
      <c r="C365" s="1"/>
      <c r="D365" s="110"/>
      <c r="E365" s="1"/>
      <c r="F365" s="1"/>
      <c r="G365" s="1"/>
      <c r="H365" s="2"/>
      <c r="I365" s="2"/>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4">
      <c r="A366" s="28"/>
      <c r="B366" s="1"/>
      <c r="C366" s="1"/>
      <c r="D366" s="110"/>
      <c r="E366" s="1"/>
      <c r="F366" s="1"/>
      <c r="G366" s="1"/>
      <c r="H366" s="2"/>
      <c r="I366" s="2"/>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4">
      <c r="A367" s="28"/>
      <c r="B367" s="1"/>
      <c r="C367" s="1"/>
      <c r="D367" s="110"/>
      <c r="E367" s="1"/>
      <c r="F367" s="1"/>
      <c r="G367" s="1"/>
      <c r="H367" s="2"/>
      <c r="I367" s="2"/>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4">
      <c r="A368" s="28"/>
      <c r="B368" s="1"/>
      <c r="C368" s="1"/>
      <c r="D368" s="110"/>
      <c r="E368" s="1"/>
      <c r="F368" s="1"/>
      <c r="G368" s="1"/>
      <c r="H368" s="2"/>
      <c r="I368" s="2"/>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4">
      <c r="A369" s="28"/>
      <c r="B369" s="1"/>
      <c r="C369" s="1"/>
      <c r="D369" s="110"/>
      <c r="E369" s="1"/>
      <c r="F369" s="1"/>
      <c r="G369" s="1"/>
      <c r="H369" s="2"/>
      <c r="I369" s="2"/>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4">
      <c r="A370" s="28"/>
      <c r="B370" s="1"/>
      <c r="C370" s="1"/>
      <c r="D370" s="110"/>
      <c r="E370" s="1"/>
      <c r="F370" s="1"/>
      <c r="G370" s="1"/>
      <c r="H370" s="2"/>
      <c r="I370" s="2"/>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4">
      <c r="A371" s="28"/>
      <c r="B371" s="1"/>
      <c r="C371" s="1"/>
      <c r="D371" s="110"/>
      <c r="E371" s="1"/>
      <c r="F371" s="1"/>
      <c r="G371" s="1"/>
      <c r="H371" s="2"/>
      <c r="I371" s="2"/>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4">
      <c r="A372" s="28"/>
      <c r="B372" s="1"/>
      <c r="C372" s="1"/>
      <c r="D372" s="110"/>
      <c r="E372" s="1"/>
      <c r="F372" s="1"/>
      <c r="G372" s="1"/>
      <c r="H372" s="2"/>
      <c r="I372" s="2"/>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4">
      <c r="A373" s="28"/>
      <c r="B373" s="1"/>
      <c r="C373" s="1"/>
      <c r="D373" s="110"/>
      <c r="E373" s="1"/>
      <c r="F373" s="1"/>
      <c r="G373" s="1"/>
      <c r="H373" s="2"/>
      <c r="I373" s="2"/>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4">
      <c r="A374" s="28"/>
      <c r="B374" s="1"/>
      <c r="C374" s="1"/>
      <c r="D374" s="110"/>
      <c r="E374" s="1"/>
      <c r="F374" s="1"/>
      <c r="G374" s="1"/>
      <c r="H374" s="2"/>
      <c r="I374" s="2"/>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4">
      <c r="A375" s="28"/>
      <c r="B375" s="1"/>
      <c r="C375" s="1"/>
      <c r="D375" s="110"/>
      <c r="E375" s="1"/>
      <c r="F375" s="1"/>
      <c r="G375" s="1"/>
      <c r="H375" s="2"/>
      <c r="I375" s="2"/>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4">
      <c r="A376" s="28"/>
      <c r="B376" s="1"/>
      <c r="C376" s="1"/>
      <c r="D376" s="110"/>
      <c r="E376" s="1"/>
      <c r="F376" s="1"/>
      <c r="G376" s="1"/>
      <c r="H376" s="2"/>
      <c r="I376" s="2"/>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4">
      <c r="A377" s="28"/>
      <c r="B377" s="1"/>
      <c r="C377" s="1"/>
      <c r="D377" s="110"/>
      <c r="E377" s="1"/>
      <c r="F377" s="1"/>
      <c r="G377" s="1"/>
      <c r="H377" s="2"/>
      <c r="I377" s="2"/>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4">
      <c r="A378" s="28"/>
      <c r="B378" s="1"/>
      <c r="C378" s="1"/>
      <c r="D378" s="110"/>
      <c r="E378" s="1"/>
      <c r="F378" s="1"/>
      <c r="G378" s="1"/>
      <c r="H378" s="2"/>
      <c r="I378" s="2"/>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4">
      <c r="A379" s="28"/>
      <c r="B379" s="1"/>
      <c r="C379" s="1"/>
      <c r="D379" s="110"/>
      <c r="E379" s="1"/>
      <c r="F379" s="1"/>
      <c r="G379" s="1"/>
      <c r="H379" s="2"/>
      <c r="I379" s="2"/>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4">
      <c r="A380" s="28"/>
      <c r="B380" s="1"/>
      <c r="C380" s="1"/>
      <c r="D380" s="110"/>
      <c r="E380" s="1"/>
      <c r="F380" s="1"/>
      <c r="G380" s="1"/>
      <c r="H380" s="2"/>
      <c r="I380" s="2"/>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4">
      <c r="A381" s="28"/>
      <c r="B381" s="1"/>
      <c r="C381" s="1"/>
      <c r="D381" s="110"/>
      <c r="E381" s="1"/>
      <c r="F381" s="1"/>
      <c r="G381" s="1"/>
      <c r="H381" s="2"/>
      <c r="I381" s="2"/>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4">
      <c r="A382" s="28"/>
      <c r="B382" s="1"/>
      <c r="C382" s="1"/>
      <c r="D382" s="110"/>
      <c r="E382" s="1"/>
      <c r="F382" s="1"/>
      <c r="G382" s="1"/>
      <c r="H382" s="2"/>
      <c r="I382" s="2"/>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4">
      <c r="A383" s="28"/>
      <c r="B383" s="1"/>
      <c r="C383" s="1"/>
      <c r="D383" s="110"/>
      <c r="E383" s="1"/>
      <c r="F383" s="1"/>
      <c r="G383" s="1"/>
      <c r="H383" s="2"/>
      <c r="I383" s="2"/>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4">
      <c r="A384" s="28"/>
      <c r="B384" s="1"/>
      <c r="C384" s="1"/>
      <c r="D384" s="110"/>
      <c r="E384" s="1"/>
      <c r="F384" s="1"/>
      <c r="G384" s="1"/>
      <c r="H384" s="2"/>
      <c r="I384" s="2"/>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4">
      <c r="A385" s="28"/>
      <c r="B385" s="1"/>
      <c r="C385" s="1"/>
      <c r="D385" s="110"/>
      <c r="E385" s="1"/>
      <c r="F385" s="1"/>
      <c r="G385" s="1"/>
      <c r="H385" s="2"/>
      <c r="I385" s="2"/>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4">
      <c r="A386" s="28"/>
      <c r="B386" s="1"/>
      <c r="C386" s="1"/>
      <c r="D386" s="110"/>
      <c r="E386" s="1"/>
      <c r="F386" s="1"/>
      <c r="G386" s="1"/>
      <c r="H386" s="2"/>
      <c r="I386" s="2"/>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4">
      <c r="A387" s="28"/>
      <c r="B387" s="1"/>
      <c r="C387" s="1"/>
      <c r="D387" s="110"/>
      <c r="E387" s="1"/>
      <c r="F387" s="1"/>
      <c r="G387" s="1"/>
      <c r="H387" s="2"/>
      <c r="I387" s="2"/>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4">
      <c r="A388" s="28"/>
      <c r="B388" s="1"/>
      <c r="C388" s="1"/>
      <c r="D388" s="110"/>
      <c r="E388" s="1"/>
      <c r="F388" s="1"/>
      <c r="G388" s="1"/>
      <c r="H388" s="2"/>
      <c r="I388" s="2"/>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4">
      <c r="A389" s="28"/>
      <c r="B389" s="1"/>
      <c r="C389" s="1"/>
      <c r="D389" s="110"/>
      <c r="E389" s="1"/>
      <c r="F389" s="1"/>
      <c r="G389" s="1"/>
      <c r="H389" s="2"/>
      <c r="I389" s="2"/>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4">
      <c r="A390" s="28"/>
      <c r="B390" s="1"/>
      <c r="C390" s="1"/>
      <c r="D390" s="110"/>
      <c r="E390" s="1"/>
      <c r="F390" s="1"/>
      <c r="G390" s="1"/>
      <c r="H390" s="2"/>
      <c r="I390" s="2"/>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4">
      <c r="A391" s="28"/>
      <c r="B391" s="1"/>
      <c r="C391" s="1"/>
      <c r="D391" s="110"/>
      <c r="E391" s="1"/>
      <c r="F391" s="1"/>
      <c r="G391" s="1"/>
      <c r="H391" s="2"/>
      <c r="I391" s="2"/>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4">
      <c r="A392" s="28"/>
      <c r="B392" s="1"/>
      <c r="C392" s="1"/>
      <c r="D392" s="110"/>
      <c r="E392" s="1"/>
      <c r="F392" s="1"/>
      <c r="G392" s="1"/>
      <c r="H392" s="2"/>
      <c r="I392" s="2"/>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4">
      <c r="A393" s="28"/>
      <c r="B393" s="1"/>
      <c r="C393" s="1"/>
      <c r="D393" s="110"/>
      <c r="E393" s="1"/>
      <c r="F393" s="1"/>
      <c r="G393" s="1"/>
      <c r="H393" s="2"/>
      <c r="I393" s="2"/>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4">
      <c r="A394" s="28"/>
      <c r="B394" s="1"/>
      <c r="C394" s="1"/>
      <c r="D394" s="110"/>
      <c r="E394" s="1"/>
      <c r="F394" s="1"/>
      <c r="G394" s="1"/>
      <c r="H394" s="2"/>
      <c r="I394" s="2"/>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4">
      <c r="A395" s="28"/>
      <c r="B395" s="1"/>
      <c r="C395" s="1"/>
      <c r="D395" s="110"/>
      <c r="E395" s="1"/>
      <c r="F395" s="1"/>
      <c r="G395" s="1"/>
      <c r="H395" s="2"/>
      <c r="I395" s="2"/>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4">
      <c r="A396" s="28"/>
      <c r="B396" s="1"/>
      <c r="C396" s="1"/>
      <c r="D396" s="110"/>
      <c r="E396" s="1"/>
      <c r="F396" s="1"/>
      <c r="G396" s="1"/>
      <c r="H396" s="2"/>
      <c r="I396" s="2"/>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4">
      <c r="A397" s="28"/>
      <c r="B397" s="1"/>
      <c r="C397" s="1"/>
      <c r="D397" s="110"/>
      <c r="E397" s="1"/>
      <c r="F397" s="1"/>
      <c r="G397" s="1"/>
      <c r="H397" s="2"/>
      <c r="I397" s="2"/>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4">
      <c r="A398" s="28"/>
      <c r="B398" s="1"/>
      <c r="C398" s="1"/>
      <c r="D398" s="110"/>
      <c r="E398" s="1"/>
      <c r="F398" s="1"/>
      <c r="G398" s="1"/>
      <c r="H398" s="2"/>
      <c r="I398" s="2"/>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4">
      <c r="A399" s="28"/>
      <c r="B399" s="1"/>
      <c r="C399" s="1"/>
      <c r="D399" s="110"/>
      <c r="E399" s="1"/>
      <c r="F399" s="1"/>
      <c r="G399" s="1"/>
      <c r="H399" s="2"/>
      <c r="I399" s="2"/>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4">
      <c r="A400" s="28"/>
      <c r="B400" s="1"/>
      <c r="C400" s="1"/>
      <c r="D400" s="110"/>
      <c r="E400" s="1"/>
      <c r="F400" s="1"/>
      <c r="G400" s="1"/>
      <c r="H400" s="2"/>
      <c r="I400" s="2"/>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4">
      <c r="A401" s="28"/>
      <c r="B401" s="1"/>
      <c r="C401" s="1"/>
      <c r="D401" s="110"/>
      <c r="E401" s="1"/>
      <c r="F401" s="1"/>
      <c r="G401" s="1"/>
      <c r="H401" s="2"/>
      <c r="I401" s="2"/>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4">
      <c r="A402" s="28"/>
      <c r="B402" s="1"/>
      <c r="C402" s="1"/>
      <c r="D402" s="110"/>
      <c r="E402" s="1"/>
      <c r="F402" s="1"/>
      <c r="G402" s="1"/>
      <c r="H402" s="2"/>
      <c r="I402" s="2"/>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4">
      <c r="A403" s="28"/>
      <c r="B403" s="1"/>
      <c r="C403" s="1"/>
      <c r="D403" s="110"/>
      <c r="E403" s="1"/>
      <c r="F403" s="1"/>
      <c r="G403" s="1"/>
      <c r="H403" s="2"/>
      <c r="I403" s="2"/>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4">
      <c r="A404" s="28"/>
      <c r="B404" s="1"/>
      <c r="C404" s="1"/>
      <c r="D404" s="110"/>
      <c r="E404" s="1"/>
      <c r="F404" s="1"/>
      <c r="G404" s="1"/>
      <c r="H404" s="2"/>
      <c r="I404" s="2"/>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4">
      <c r="A405" s="28"/>
      <c r="B405" s="1"/>
      <c r="C405" s="1"/>
      <c r="D405" s="110"/>
      <c r="E405" s="1"/>
      <c r="F405" s="1"/>
      <c r="G405" s="1"/>
      <c r="H405" s="2"/>
      <c r="I405" s="2"/>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4">
      <c r="A406" s="28"/>
      <c r="B406" s="1"/>
      <c r="C406" s="1"/>
      <c r="D406" s="110"/>
      <c r="E406" s="1"/>
      <c r="F406" s="1"/>
      <c r="G406" s="1"/>
      <c r="H406" s="2"/>
      <c r="I406" s="2"/>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4">
      <c r="A407" s="28"/>
      <c r="B407" s="1"/>
      <c r="C407" s="1"/>
      <c r="D407" s="110"/>
      <c r="E407" s="1"/>
      <c r="F407" s="1"/>
      <c r="G407" s="1"/>
      <c r="H407" s="2"/>
      <c r="I407" s="2"/>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4">
      <c r="A408" s="28"/>
      <c r="B408" s="1"/>
      <c r="C408" s="1"/>
      <c r="D408" s="110"/>
      <c r="E408" s="1"/>
      <c r="F408" s="1"/>
      <c r="G408" s="1"/>
      <c r="H408" s="2"/>
      <c r="I408" s="2"/>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4">
      <c r="A409" s="28"/>
      <c r="B409" s="1"/>
      <c r="C409" s="1"/>
      <c r="D409" s="110"/>
      <c r="E409" s="1"/>
      <c r="F409" s="1"/>
      <c r="G409" s="1"/>
      <c r="H409" s="2"/>
      <c r="I409" s="2"/>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4">
      <c r="A410" s="28"/>
      <c r="B410" s="1"/>
      <c r="C410" s="1"/>
      <c r="D410" s="110"/>
      <c r="E410" s="1"/>
      <c r="F410" s="1"/>
      <c r="G410" s="1"/>
      <c r="H410" s="2"/>
      <c r="I410" s="2"/>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4">
      <c r="A411" s="28"/>
      <c r="B411" s="1"/>
      <c r="C411" s="1"/>
      <c r="D411" s="110"/>
      <c r="E411" s="1"/>
      <c r="F411" s="1"/>
      <c r="G411" s="1"/>
      <c r="H411" s="2"/>
      <c r="I411" s="2"/>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4">
      <c r="A412" s="28"/>
      <c r="B412" s="1"/>
      <c r="C412" s="1"/>
      <c r="D412" s="110"/>
      <c r="E412" s="1"/>
      <c r="F412" s="1"/>
      <c r="G412" s="1"/>
      <c r="H412" s="2"/>
      <c r="I412" s="2"/>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4">
      <c r="A413" s="28"/>
      <c r="B413" s="1"/>
      <c r="C413" s="1"/>
      <c r="D413" s="110"/>
      <c r="E413" s="1"/>
      <c r="F413" s="1"/>
      <c r="G413" s="1"/>
      <c r="H413" s="2"/>
      <c r="I413" s="2"/>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4">
      <c r="A414" s="28"/>
      <c r="B414" s="1"/>
      <c r="C414" s="1"/>
      <c r="D414" s="110"/>
      <c r="E414" s="1"/>
      <c r="F414" s="1"/>
      <c r="G414" s="1"/>
      <c r="H414" s="2"/>
      <c r="I414" s="2"/>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4">
      <c r="A415" s="28"/>
      <c r="B415" s="1"/>
      <c r="C415" s="1"/>
      <c r="D415" s="110"/>
      <c r="E415" s="1"/>
      <c r="F415" s="1"/>
      <c r="G415" s="1"/>
      <c r="H415" s="2"/>
      <c r="I415" s="2"/>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4">
      <c r="A416" s="28"/>
      <c r="B416" s="1"/>
      <c r="C416" s="1"/>
      <c r="D416" s="110"/>
      <c r="E416" s="1"/>
      <c r="F416" s="1"/>
      <c r="G416" s="1"/>
      <c r="H416" s="2"/>
      <c r="I416" s="2"/>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4">
      <c r="A417" s="28"/>
      <c r="B417" s="1"/>
      <c r="C417" s="1"/>
      <c r="D417" s="110"/>
      <c r="E417" s="1"/>
      <c r="F417" s="1"/>
      <c r="G417" s="1"/>
      <c r="H417" s="2"/>
      <c r="I417" s="2"/>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4">
      <c r="A418" s="28"/>
      <c r="B418" s="1"/>
      <c r="C418" s="1"/>
      <c r="D418" s="110"/>
      <c r="E418" s="1"/>
      <c r="F418" s="1"/>
      <c r="G418" s="1"/>
      <c r="H418" s="2"/>
      <c r="I418" s="2"/>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4">
      <c r="A419" s="28"/>
      <c r="B419" s="1"/>
      <c r="C419" s="1"/>
      <c r="D419" s="110"/>
      <c r="E419" s="1"/>
      <c r="F419" s="1"/>
      <c r="G419" s="1"/>
      <c r="H419" s="2"/>
      <c r="I419" s="2"/>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4">
      <c r="A420" s="28"/>
      <c r="B420" s="1"/>
      <c r="C420" s="1"/>
      <c r="D420" s="110"/>
      <c r="E420" s="1"/>
      <c r="F420" s="1"/>
      <c r="G420" s="1"/>
      <c r="H420" s="2"/>
      <c r="I420" s="2"/>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4">
      <c r="A421" s="28"/>
      <c r="B421" s="1"/>
      <c r="C421" s="1"/>
      <c r="D421" s="110"/>
      <c r="E421" s="1"/>
      <c r="F421" s="1"/>
      <c r="G421" s="1"/>
      <c r="H421" s="2"/>
      <c r="I421" s="2"/>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4">
      <c r="A422" s="28"/>
      <c r="B422" s="1"/>
      <c r="C422" s="1"/>
      <c r="D422" s="110"/>
      <c r="E422" s="1"/>
      <c r="F422" s="1"/>
      <c r="G422" s="1"/>
      <c r="H422" s="2"/>
      <c r="I422" s="2"/>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4">
      <c r="A423" s="28"/>
      <c r="B423" s="1"/>
      <c r="C423" s="1"/>
      <c r="D423" s="110"/>
      <c r="E423" s="1"/>
      <c r="F423" s="1"/>
      <c r="G423" s="1"/>
      <c r="H423" s="2"/>
      <c r="I423" s="2"/>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4">
      <c r="A424" s="28"/>
      <c r="B424" s="1"/>
      <c r="C424" s="1"/>
      <c r="D424" s="110"/>
      <c r="E424" s="1"/>
      <c r="F424" s="1"/>
      <c r="G424" s="1"/>
      <c r="H424" s="2"/>
      <c r="I424" s="2"/>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4">
      <c r="A425" s="28"/>
      <c r="B425" s="1"/>
      <c r="C425" s="1"/>
      <c r="D425" s="110"/>
      <c r="E425" s="1"/>
      <c r="F425" s="1"/>
      <c r="G425" s="1"/>
      <c r="H425" s="2"/>
      <c r="I425" s="2"/>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4">
      <c r="A426" s="28"/>
      <c r="B426" s="1"/>
      <c r="C426" s="1"/>
      <c r="D426" s="110"/>
      <c r="E426" s="1"/>
      <c r="F426" s="1"/>
      <c r="G426" s="1"/>
      <c r="H426" s="2"/>
      <c r="I426" s="2"/>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4">
      <c r="A427" s="28"/>
      <c r="B427" s="1"/>
      <c r="C427" s="1"/>
      <c r="D427" s="110"/>
      <c r="E427" s="1"/>
      <c r="F427" s="1"/>
      <c r="G427" s="1"/>
      <c r="H427" s="2"/>
      <c r="I427" s="2"/>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4">
      <c r="A428" s="28"/>
      <c r="B428" s="1"/>
      <c r="C428" s="1"/>
      <c r="D428" s="110"/>
      <c r="E428" s="1"/>
      <c r="F428" s="1"/>
      <c r="G428" s="1"/>
      <c r="H428" s="2"/>
      <c r="I428" s="2"/>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4">
      <c r="A429" s="28"/>
      <c r="B429" s="1"/>
      <c r="C429" s="1"/>
      <c r="D429" s="110"/>
      <c r="E429" s="1"/>
      <c r="F429" s="1"/>
      <c r="G429" s="1"/>
      <c r="H429" s="2"/>
      <c r="I429" s="2"/>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4">
      <c r="A430" s="28"/>
      <c r="B430" s="1"/>
      <c r="C430" s="1"/>
      <c r="D430" s="110"/>
      <c r="E430" s="1"/>
      <c r="F430" s="1"/>
      <c r="G430" s="1"/>
      <c r="H430" s="2"/>
      <c r="I430" s="2"/>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4">
      <c r="A431" s="28"/>
      <c r="B431" s="1"/>
      <c r="C431" s="1"/>
      <c r="D431" s="110"/>
      <c r="E431" s="1"/>
      <c r="F431" s="1"/>
      <c r="G431" s="1"/>
      <c r="H431" s="2"/>
      <c r="I431" s="2"/>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4">
      <c r="A432" s="28"/>
      <c r="B432" s="1"/>
      <c r="C432" s="1"/>
      <c r="D432" s="110"/>
      <c r="E432" s="1"/>
      <c r="F432" s="1"/>
      <c r="G432" s="1"/>
      <c r="H432" s="2"/>
      <c r="I432" s="2"/>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4">
      <c r="A433" s="28"/>
      <c r="B433" s="1"/>
      <c r="C433" s="1"/>
      <c r="D433" s="110"/>
      <c r="E433" s="1"/>
      <c r="F433" s="1"/>
      <c r="G433" s="1"/>
      <c r="H433" s="2"/>
      <c r="I433" s="2"/>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4">
      <c r="A434" s="28"/>
      <c r="B434" s="1"/>
      <c r="C434" s="1"/>
      <c r="D434" s="110"/>
      <c r="E434" s="1"/>
      <c r="F434" s="1"/>
      <c r="G434" s="1"/>
      <c r="H434" s="2"/>
      <c r="I434" s="2"/>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4">
      <c r="A435" s="28"/>
      <c r="B435" s="1"/>
      <c r="C435" s="1"/>
      <c r="D435" s="110"/>
      <c r="E435" s="1"/>
      <c r="F435" s="1"/>
      <c r="G435" s="1"/>
      <c r="H435" s="2"/>
      <c r="I435" s="2"/>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4">
      <c r="A436" s="28"/>
      <c r="B436" s="1"/>
      <c r="C436" s="1"/>
      <c r="D436" s="110"/>
      <c r="E436" s="1"/>
      <c r="F436" s="1"/>
      <c r="G436" s="1"/>
      <c r="H436" s="2"/>
      <c r="I436" s="2"/>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4">
      <c r="A437" s="28"/>
      <c r="B437" s="1"/>
      <c r="C437" s="1"/>
      <c r="D437" s="110"/>
      <c r="E437" s="1"/>
      <c r="F437" s="1"/>
      <c r="G437" s="1"/>
      <c r="H437" s="2"/>
      <c r="I437" s="2"/>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4">
      <c r="A438" s="28"/>
      <c r="B438" s="1"/>
      <c r="C438" s="1"/>
      <c r="D438" s="110"/>
      <c r="E438" s="1"/>
      <c r="F438" s="1"/>
      <c r="G438" s="1"/>
      <c r="H438" s="2"/>
      <c r="I438" s="2"/>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4">
      <c r="A439" s="28"/>
      <c r="B439" s="1"/>
      <c r="C439" s="1"/>
      <c r="D439" s="110"/>
      <c r="E439" s="1"/>
      <c r="F439" s="1"/>
      <c r="G439" s="1"/>
      <c r="H439" s="2"/>
      <c r="I439" s="2"/>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4">
      <c r="A440" s="28"/>
      <c r="B440" s="1"/>
      <c r="C440" s="1"/>
      <c r="D440" s="110"/>
      <c r="E440" s="1"/>
      <c r="F440" s="1"/>
      <c r="G440" s="1"/>
      <c r="H440" s="2"/>
      <c r="I440" s="2"/>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4">
      <c r="A441" s="28"/>
      <c r="B441" s="1"/>
      <c r="C441" s="1"/>
      <c r="D441" s="110"/>
      <c r="E441" s="1"/>
      <c r="F441" s="1"/>
      <c r="G441" s="1"/>
      <c r="H441" s="2"/>
      <c r="I441" s="2"/>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4">
      <c r="A442" s="28"/>
      <c r="B442" s="1"/>
      <c r="C442" s="1"/>
      <c r="D442" s="110"/>
      <c r="E442" s="1"/>
      <c r="F442" s="1"/>
      <c r="G442" s="1"/>
      <c r="H442" s="2"/>
      <c r="I442" s="2"/>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4">
      <c r="A443" s="28"/>
      <c r="B443" s="1"/>
      <c r="C443" s="1"/>
      <c r="D443" s="110"/>
      <c r="E443" s="1"/>
      <c r="F443" s="1"/>
      <c r="G443" s="1"/>
      <c r="H443" s="2"/>
      <c r="I443" s="2"/>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4">
      <c r="A444" s="28"/>
      <c r="B444" s="1"/>
      <c r="C444" s="1"/>
      <c r="D444" s="110"/>
      <c r="E444" s="1"/>
      <c r="F444" s="1"/>
      <c r="G444" s="1"/>
      <c r="H444" s="2"/>
      <c r="I444" s="2"/>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4">
      <c r="A445" s="28"/>
      <c r="B445" s="1"/>
      <c r="C445" s="1"/>
      <c r="D445" s="110"/>
      <c r="E445" s="1"/>
      <c r="F445" s="1"/>
      <c r="G445" s="1"/>
      <c r="H445" s="2"/>
      <c r="I445" s="2"/>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4">
      <c r="A446" s="28"/>
      <c r="B446" s="1"/>
      <c r="C446" s="1"/>
      <c r="D446" s="110"/>
      <c r="E446" s="1"/>
      <c r="F446" s="1"/>
      <c r="G446" s="1"/>
      <c r="H446" s="2"/>
      <c r="I446" s="2"/>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4">
      <c r="A447" s="28"/>
      <c r="B447" s="1"/>
      <c r="C447" s="1"/>
      <c r="D447" s="110"/>
      <c r="E447" s="1"/>
      <c r="F447" s="1"/>
      <c r="G447" s="1"/>
      <c r="H447" s="2"/>
      <c r="I447" s="2"/>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4">
      <c r="A448" s="28"/>
      <c r="B448" s="1"/>
      <c r="C448" s="1"/>
      <c r="D448" s="110"/>
      <c r="E448" s="1"/>
      <c r="F448" s="1"/>
      <c r="G448" s="1"/>
      <c r="H448" s="2"/>
      <c r="I448" s="2"/>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4">
      <c r="A449" s="28"/>
      <c r="B449" s="1"/>
      <c r="C449" s="1"/>
      <c r="D449" s="110"/>
      <c r="E449" s="1"/>
      <c r="F449" s="1"/>
      <c r="G449" s="1"/>
      <c r="H449" s="2"/>
      <c r="I449" s="2"/>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4">
      <c r="A450" s="28"/>
      <c r="B450" s="1"/>
      <c r="C450" s="1"/>
      <c r="D450" s="110"/>
      <c r="E450" s="1"/>
      <c r="F450" s="1"/>
      <c r="G450" s="1"/>
      <c r="H450" s="2"/>
      <c r="I450" s="2"/>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4">
      <c r="A451" s="28"/>
      <c r="B451" s="1"/>
      <c r="C451" s="1"/>
      <c r="D451" s="110"/>
      <c r="E451" s="1"/>
      <c r="F451" s="1"/>
      <c r="G451" s="1"/>
      <c r="H451" s="2"/>
      <c r="I451" s="2"/>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4">
      <c r="A452" s="28"/>
      <c r="B452" s="1"/>
      <c r="C452" s="1"/>
      <c r="D452" s="110"/>
      <c r="E452" s="1"/>
      <c r="F452" s="1"/>
      <c r="G452" s="1"/>
      <c r="H452" s="2"/>
      <c r="I452" s="2"/>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4">
      <c r="A453" s="28"/>
      <c r="B453" s="1"/>
      <c r="C453" s="1"/>
      <c r="D453" s="110"/>
      <c r="E453" s="1"/>
      <c r="F453" s="1"/>
      <c r="G453" s="1"/>
      <c r="H453" s="2"/>
      <c r="I453" s="2"/>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4">
      <c r="A454" s="28"/>
      <c r="B454" s="1"/>
      <c r="C454" s="1"/>
      <c r="D454" s="110"/>
      <c r="E454" s="1"/>
      <c r="F454" s="1"/>
      <c r="G454" s="1"/>
      <c r="H454" s="2"/>
      <c r="I454" s="2"/>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4">
      <c r="A455" s="28"/>
      <c r="B455" s="1"/>
      <c r="C455" s="1"/>
      <c r="D455" s="110"/>
      <c r="E455" s="1"/>
      <c r="F455" s="1"/>
      <c r="G455" s="1"/>
      <c r="H455" s="2"/>
      <c r="I455" s="2"/>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4">
      <c r="A456" s="28"/>
      <c r="B456" s="1"/>
      <c r="C456" s="1"/>
      <c r="D456" s="110"/>
      <c r="E456" s="1"/>
      <c r="F456" s="1"/>
      <c r="G456" s="1"/>
      <c r="H456" s="2"/>
      <c r="I456" s="2"/>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4">
      <c r="A457" s="28"/>
      <c r="B457" s="1"/>
      <c r="C457" s="1"/>
      <c r="D457" s="110"/>
      <c r="E457" s="1"/>
      <c r="F457" s="1"/>
      <c r="G457" s="1"/>
      <c r="H457" s="2"/>
      <c r="I457" s="2"/>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4">
      <c r="A458" s="28"/>
      <c r="B458" s="1"/>
      <c r="C458" s="1"/>
      <c r="D458" s="110"/>
      <c r="E458" s="1"/>
      <c r="F458" s="1"/>
      <c r="G458" s="1"/>
      <c r="H458" s="2"/>
      <c r="I458" s="2"/>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4">
      <c r="A459" s="28"/>
      <c r="B459" s="1"/>
      <c r="C459" s="1"/>
      <c r="D459" s="110"/>
      <c r="E459" s="1"/>
      <c r="F459" s="1"/>
      <c r="G459" s="1"/>
      <c r="H459" s="2"/>
      <c r="I459" s="2"/>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4">
      <c r="A460" s="28"/>
      <c r="B460" s="1"/>
      <c r="C460" s="1"/>
      <c r="D460" s="110"/>
      <c r="E460" s="1"/>
      <c r="F460" s="1"/>
      <c r="G460" s="1"/>
      <c r="H460" s="2"/>
      <c r="I460" s="2"/>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4">
      <c r="A461" s="28"/>
      <c r="B461" s="1"/>
      <c r="C461" s="1"/>
      <c r="D461" s="110"/>
      <c r="E461" s="1"/>
      <c r="F461" s="1"/>
      <c r="G461" s="1"/>
      <c r="H461" s="2"/>
      <c r="I461" s="2"/>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4">
      <c r="A462" s="28"/>
      <c r="B462" s="1"/>
      <c r="C462" s="1"/>
      <c r="D462" s="110"/>
      <c r="E462" s="1"/>
      <c r="F462" s="1"/>
      <c r="G462" s="1"/>
      <c r="H462" s="2"/>
      <c r="I462" s="2"/>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4">
      <c r="A463" s="28"/>
      <c r="B463" s="1"/>
      <c r="C463" s="1"/>
      <c r="D463" s="110"/>
      <c r="E463" s="1"/>
      <c r="F463" s="1"/>
      <c r="G463" s="1"/>
      <c r="H463" s="2"/>
      <c r="I463" s="2"/>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4">
      <c r="A464" s="28"/>
      <c r="B464" s="1"/>
      <c r="C464" s="1"/>
      <c r="D464" s="110"/>
      <c r="E464" s="1"/>
      <c r="F464" s="1"/>
      <c r="G464" s="1"/>
      <c r="H464" s="2"/>
      <c r="I464" s="2"/>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4">
      <c r="A465" s="28"/>
      <c r="B465" s="1"/>
      <c r="C465" s="1"/>
      <c r="D465" s="110"/>
      <c r="E465" s="1"/>
      <c r="F465" s="1"/>
      <c r="G465" s="1"/>
      <c r="H465" s="2"/>
      <c r="I465" s="2"/>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4">
      <c r="A466" s="28"/>
      <c r="B466" s="1"/>
      <c r="C466" s="1"/>
      <c r="D466" s="110"/>
      <c r="E466" s="1"/>
      <c r="F466" s="1"/>
      <c r="G466" s="1"/>
      <c r="H466" s="2"/>
      <c r="I466" s="2"/>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4">
      <c r="A467" s="28"/>
      <c r="B467" s="1"/>
      <c r="C467" s="1"/>
      <c r="D467" s="110"/>
      <c r="E467" s="1"/>
      <c r="F467" s="1"/>
      <c r="G467" s="1"/>
      <c r="H467" s="2"/>
      <c r="I467" s="2"/>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4">
      <c r="A468" s="28"/>
      <c r="B468" s="1"/>
      <c r="C468" s="1"/>
      <c r="D468" s="110"/>
      <c r="E468" s="1"/>
      <c r="F468" s="1"/>
      <c r="G468" s="1"/>
      <c r="H468" s="2"/>
      <c r="I468" s="2"/>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4">
      <c r="A469" s="28"/>
      <c r="B469" s="1"/>
      <c r="C469" s="1"/>
      <c r="D469" s="110"/>
      <c r="E469" s="1"/>
      <c r="F469" s="1"/>
      <c r="G469" s="1"/>
      <c r="H469" s="2"/>
      <c r="I469" s="2"/>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4">
      <c r="A470" s="28"/>
      <c r="B470" s="1"/>
      <c r="C470" s="1"/>
      <c r="D470" s="110"/>
      <c r="E470" s="1"/>
      <c r="F470" s="1"/>
      <c r="G470" s="1"/>
      <c r="H470" s="2"/>
      <c r="I470" s="2"/>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4">
      <c r="A471" s="28"/>
      <c r="B471" s="1"/>
      <c r="C471" s="1"/>
      <c r="D471" s="110"/>
      <c r="E471" s="1"/>
      <c r="F471" s="1"/>
      <c r="G471" s="1"/>
      <c r="H471" s="2"/>
      <c r="I471" s="2"/>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4">
      <c r="A472" s="28"/>
      <c r="B472" s="1"/>
      <c r="C472" s="1"/>
      <c r="D472" s="110"/>
      <c r="E472" s="1"/>
      <c r="F472" s="1"/>
      <c r="G472" s="1"/>
      <c r="H472" s="2"/>
      <c r="I472" s="2"/>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4">
      <c r="A473" s="28"/>
      <c r="B473" s="1"/>
      <c r="C473" s="1"/>
      <c r="D473" s="110"/>
      <c r="E473" s="1"/>
      <c r="F473" s="1"/>
      <c r="G473" s="1"/>
      <c r="H473" s="2"/>
      <c r="I473" s="2"/>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4">
      <c r="A474" s="28"/>
      <c r="B474" s="1"/>
      <c r="C474" s="1"/>
      <c r="D474" s="110"/>
      <c r="E474" s="1"/>
      <c r="F474" s="1"/>
      <c r="G474" s="1"/>
      <c r="H474" s="2"/>
      <c r="I474" s="2"/>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4">
      <c r="A475" s="28"/>
      <c r="B475" s="1"/>
      <c r="C475" s="1"/>
      <c r="D475" s="110"/>
      <c r="E475" s="1"/>
      <c r="F475" s="1"/>
      <c r="G475" s="1"/>
      <c r="H475" s="2"/>
      <c r="I475" s="2"/>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4">
      <c r="A476" s="28"/>
      <c r="B476" s="1"/>
      <c r="C476" s="1"/>
      <c r="D476" s="110"/>
      <c r="E476" s="1"/>
      <c r="F476" s="1"/>
      <c r="G476" s="1"/>
      <c r="H476" s="2"/>
      <c r="I476" s="2"/>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4">
      <c r="A477" s="28"/>
      <c r="B477" s="1"/>
      <c r="C477" s="1"/>
      <c r="D477" s="110"/>
      <c r="E477" s="1"/>
      <c r="F477" s="1"/>
      <c r="G477" s="1"/>
      <c r="H477" s="2"/>
      <c r="I477" s="2"/>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4">
      <c r="A478" s="28"/>
      <c r="B478" s="1"/>
      <c r="C478" s="1"/>
      <c r="D478" s="110"/>
      <c r="E478" s="1"/>
      <c r="F478" s="1"/>
      <c r="G478" s="1"/>
      <c r="H478" s="2"/>
      <c r="I478" s="2"/>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4">
      <c r="A479" s="28"/>
      <c r="B479" s="1"/>
      <c r="C479" s="1"/>
      <c r="D479" s="110"/>
      <c r="E479" s="1"/>
      <c r="F479" s="1"/>
      <c r="G479" s="1"/>
      <c r="H479" s="2"/>
      <c r="I479" s="2"/>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4">
      <c r="A480" s="28"/>
      <c r="B480" s="1"/>
      <c r="C480" s="1"/>
      <c r="D480" s="110"/>
      <c r="E480" s="1"/>
      <c r="F480" s="1"/>
      <c r="G480" s="1"/>
      <c r="H480" s="2"/>
      <c r="I480" s="2"/>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4">
      <c r="A481" s="28"/>
      <c r="B481" s="1"/>
      <c r="C481" s="1"/>
      <c r="D481" s="110"/>
      <c r="E481" s="1"/>
      <c r="F481" s="1"/>
      <c r="G481" s="1"/>
      <c r="H481" s="2"/>
      <c r="I481" s="2"/>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4">
      <c r="A482" s="28"/>
      <c r="B482" s="1"/>
      <c r="C482" s="1"/>
      <c r="D482" s="110"/>
      <c r="E482" s="1"/>
      <c r="F482" s="1"/>
      <c r="G482" s="1"/>
      <c r="H482" s="2"/>
      <c r="I482" s="2"/>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4">
      <c r="A483" s="28"/>
      <c r="B483" s="1"/>
      <c r="C483" s="1"/>
      <c r="D483" s="110"/>
      <c r="E483" s="1"/>
      <c r="F483" s="1"/>
      <c r="G483" s="1"/>
      <c r="H483" s="2"/>
      <c r="I483" s="2"/>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4">
      <c r="A484" s="28"/>
      <c r="B484" s="1"/>
      <c r="C484" s="1"/>
      <c r="D484" s="110"/>
      <c r="E484" s="1"/>
      <c r="F484" s="1"/>
      <c r="G484" s="1"/>
      <c r="H484" s="2"/>
      <c r="I484" s="2"/>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4">
      <c r="A485" s="28"/>
      <c r="B485" s="1"/>
      <c r="C485" s="1"/>
      <c r="D485" s="110"/>
      <c r="E485" s="1"/>
      <c r="F485" s="1"/>
      <c r="G485" s="1"/>
      <c r="H485" s="2"/>
      <c r="I485" s="2"/>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4">
      <c r="A486" s="28"/>
      <c r="B486" s="1"/>
      <c r="C486" s="1"/>
      <c r="D486" s="110"/>
      <c r="E486" s="1"/>
      <c r="F486" s="1"/>
      <c r="G486" s="1"/>
      <c r="H486" s="2"/>
      <c r="I486" s="2"/>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4">
      <c r="A487" s="28"/>
      <c r="B487" s="1"/>
      <c r="C487" s="1"/>
      <c r="D487" s="110"/>
      <c r="E487" s="1"/>
      <c r="F487" s="1"/>
      <c r="G487" s="1"/>
      <c r="H487" s="2"/>
      <c r="I487" s="2"/>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4">
      <c r="A488" s="28"/>
      <c r="B488" s="1"/>
      <c r="C488" s="1"/>
      <c r="D488" s="110"/>
      <c r="E488" s="1"/>
      <c r="F488" s="1"/>
      <c r="G488" s="1"/>
      <c r="H488" s="2"/>
      <c r="I488" s="2"/>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4">
      <c r="A489" s="28"/>
      <c r="B489" s="1"/>
      <c r="C489" s="1"/>
      <c r="D489" s="110"/>
      <c r="E489" s="1"/>
      <c r="F489" s="1"/>
      <c r="G489" s="1"/>
      <c r="H489" s="2"/>
      <c r="I489" s="2"/>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4">
      <c r="A490" s="28"/>
      <c r="B490" s="1"/>
      <c r="C490" s="1"/>
      <c r="D490" s="110"/>
      <c r="E490" s="1"/>
      <c r="F490" s="1"/>
      <c r="G490" s="1"/>
      <c r="H490" s="2"/>
      <c r="I490" s="2"/>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4">
      <c r="A491" s="28"/>
      <c r="B491" s="1"/>
      <c r="C491" s="1"/>
      <c r="D491" s="110"/>
      <c r="E491" s="1"/>
      <c r="F491" s="1"/>
      <c r="G491" s="1"/>
      <c r="H491" s="2"/>
      <c r="I491" s="2"/>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4">
      <c r="A492" s="28"/>
      <c r="B492" s="1"/>
      <c r="C492" s="1"/>
      <c r="D492" s="110"/>
      <c r="E492" s="1"/>
      <c r="F492" s="1"/>
      <c r="G492" s="1"/>
      <c r="H492" s="2"/>
      <c r="I492" s="2"/>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4">
      <c r="A493" s="28"/>
      <c r="B493" s="1"/>
      <c r="C493" s="1"/>
      <c r="D493" s="110"/>
      <c r="E493" s="1"/>
      <c r="F493" s="1"/>
      <c r="G493" s="1"/>
      <c r="H493" s="2"/>
      <c r="I493" s="2"/>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4">
      <c r="A494" s="28"/>
      <c r="B494" s="1"/>
      <c r="C494" s="1"/>
      <c r="D494" s="110"/>
      <c r="E494" s="1"/>
      <c r="F494" s="1"/>
      <c r="G494" s="1"/>
      <c r="H494" s="2"/>
      <c r="I494" s="2"/>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4">
      <c r="A495" s="28"/>
      <c r="B495" s="1"/>
      <c r="C495" s="1"/>
      <c r="D495" s="110"/>
      <c r="E495" s="1"/>
      <c r="F495" s="1"/>
      <c r="G495" s="1"/>
      <c r="H495" s="2"/>
      <c r="I495" s="2"/>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4">
      <c r="A496" s="28"/>
      <c r="B496" s="1"/>
      <c r="C496" s="1"/>
      <c r="D496" s="110"/>
      <c r="E496" s="1"/>
      <c r="F496" s="1"/>
      <c r="G496" s="1"/>
      <c r="H496" s="2"/>
      <c r="I496" s="2"/>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4">
      <c r="A497" s="28"/>
      <c r="B497" s="1"/>
      <c r="C497" s="1"/>
      <c r="D497" s="110"/>
      <c r="E497" s="1"/>
      <c r="F497" s="1"/>
      <c r="G497" s="1"/>
      <c r="H497" s="2"/>
      <c r="I497" s="2"/>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4">
      <c r="A498" s="28"/>
      <c r="B498" s="1"/>
      <c r="C498" s="1"/>
      <c r="D498" s="110"/>
      <c r="E498" s="1"/>
      <c r="F498" s="1"/>
      <c r="G498" s="1"/>
      <c r="H498" s="2"/>
      <c r="I498" s="2"/>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4">
      <c r="A499" s="28"/>
      <c r="B499" s="1"/>
      <c r="C499" s="1"/>
      <c r="D499" s="110"/>
      <c r="E499" s="1"/>
      <c r="F499" s="1"/>
      <c r="G499" s="1"/>
      <c r="H499" s="2"/>
      <c r="I499" s="2"/>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4">
      <c r="A500" s="28"/>
      <c r="B500" s="1"/>
      <c r="C500" s="1"/>
      <c r="D500" s="110"/>
      <c r="E500" s="1"/>
      <c r="F500" s="1"/>
      <c r="G500" s="1"/>
      <c r="H500" s="2"/>
      <c r="I500" s="2"/>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4">
      <c r="A501" s="28"/>
      <c r="B501" s="1"/>
      <c r="C501" s="1"/>
      <c r="D501" s="110"/>
      <c r="E501" s="1"/>
      <c r="F501" s="1"/>
      <c r="G501" s="1"/>
      <c r="H501" s="2"/>
      <c r="I501" s="2"/>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4">
      <c r="A502" s="28"/>
      <c r="B502" s="1"/>
      <c r="C502" s="1"/>
      <c r="D502" s="110"/>
      <c r="E502" s="1"/>
      <c r="F502" s="1"/>
      <c r="G502" s="1"/>
      <c r="H502" s="2"/>
      <c r="I502" s="2"/>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4">
      <c r="A503" s="28"/>
      <c r="B503" s="1"/>
      <c r="C503" s="1"/>
      <c r="D503" s="110"/>
      <c r="E503" s="1"/>
      <c r="F503" s="1"/>
      <c r="G503" s="1"/>
      <c r="H503" s="2"/>
      <c r="I503" s="2"/>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4">
      <c r="A504" s="28"/>
      <c r="B504" s="1"/>
      <c r="C504" s="1"/>
      <c r="D504" s="110"/>
      <c r="E504" s="1"/>
      <c r="F504" s="1"/>
      <c r="G504" s="1"/>
      <c r="H504" s="2"/>
      <c r="I504" s="2"/>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4">
      <c r="A505" s="28"/>
      <c r="B505" s="1"/>
      <c r="C505" s="1"/>
      <c r="D505" s="110"/>
      <c r="E505" s="1"/>
      <c r="F505" s="1"/>
      <c r="G505" s="1"/>
      <c r="H505" s="2"/>
      <c r="I505" s="2"/>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4">
      <c r="A506" s="28"/>
      <c r="B506" s="1"/>
      <c r="C506" s="1"/>
      <c r="D506" s="110"/>
      <c r="E506" s="1"/>
      <c r="F506" s="1"/>
      <c r="G506" s="1"/>
      <c r="H506" s="2"/>
      <c r="I506" s="2"/>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4">
      <c r="A507" s="28"/>
      <c r="B507" s="1"/>
      <c r="C507" s="1"/>
      <c r="D507" s="110"/>
      <c r="E507" s="1"/>
      <c r="F507" s="1"/>
      <c r="G507" s="1"/>
      <c r="H507" s="2"/>
      <c r="I507" s="2"/>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4">
      <c r="A508" s="28"/>
      <c r="B508" s="1"/>
      <c r="C508" s="1"/>
      <c r="D508" s="110"/>
      <c r="E508" s="1"/>
      <c r="F508" s="1"/>
      <c r="G508" s="1"/>
      <c r="H508" s="2"/>
      <c r="I508" s="2"/>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4">
      <c r="A509" s="28"/>
      <c r="B509" s="1"/>
      <c r="C509" s="1"/>
      <c r="D509" s="110"/>
      <c r="E509" s="1"/>
      <c r="F509" s="1"/>
      <c r="G509" s="1"/>
      <c r="H509" s="2"/>
      <c r="I509" s="2"/>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4">
      <c r="A510" s="28"/>
      <c r="B510" s="1"/>
      <c r="C510" s="1"/>
      <c r="D510" s="110"/>
      <c r="E510" s="1"/>
      <c r="F510" s="1"/>
      <c r="G510" s="1"/>
      <c r="H510" s="2"/>
      <c r="I510" s="2"/>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4">
      <c r="A511" s="28"/>
      <c r="B511" s="1"/>
      <c r="C511" s="1"/>
      <c r="D511" s="110"/>
      <c r="E511" s="1"/>
      <c r="F511" s="1"/>
      <c r="G511" s="1"/>
      <c r="H511" s="2"/>
      <c r="I511" s="2"/>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4">
      <c r="A512" s="28"/>
      <c r="B512" s="1"/>
      <c r="C512" s="1"/>
      <c r="D512" s="110"/>
      <c r="E512" s="1"/>
      <c r="F512" s="1"/>
      <c r="G512" s="1"/>
      <c r="H512" s="2"/>
      <c r="I512" s="2"/>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4">
      <c r="A513" s="28"/>
      <c r="B513" s="1"/>
      <c r="C513" s="1"/>
      <c r="D513" s="110"/>
      <c r="E513" s="1"/>
      <c r="F513" s="1"/>
      <c r="G513" s="1"/>
      <c r="H513" s="2"/>
      <c r="I513" s="2"/>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4">
      <c r="A514" s="28"/>
      <c r="B514" s="1"/>
      <c r="C514" s="1"/>
      <c r="D514" s="110"/>
      <c r="E514" s="1"/>
      <c r="F514" s="1"/>
      <c r="G514" s="1"/>
      <c r="H514" s="2"/>
      <c r="I514" s="2"/>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4">
      <c r="A515" s="28"/>
      <c r="B515" s="1"/>
      <c r="C515" s="1"/>
      <c r="D515" s="110"/>
      <c r="E515" s="1"/>
      <c r="F515" s="1"/>
      <c r="G515" s="1"/>
      <c r="H515" s="2"/>
      <c r="I515" s="2"/>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4">
      <c r="A516" s="28"/>
      <c r="B516" s="1"/>
      <c r="C516" s="1"/>
      <c r="D516" s="110"/>
      <c r="E516" s="1"/>
      <c r="F516" s="1"/>
      <c r="G516" s="1"/>
      <c r="H516" s="2"/>
      <c r="I516" s="2"/>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4">
      <c r="A517" s="28"/>
      <c r="B517" s="1"/>
      <c r="C517" s="1"/>
      <c r="D517" s="110"/>
      <c r="E517" s="1"/>
      <c r="F517" s="1"/>
      <c r="G517" s="1"/>
      <c r="H517" s="2"/>
      <c r="I517" s="2"/>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4">
      <c r="A518" s="28"/>
      <c r="B518" s="1"/>
      <c r="C518" s="1"/>
      <c r="D518" s="110"/>
      <c r="E518" s="1"/>
      <c r="F518" s="1"/>
      <c r="G518" s="1"/>
      <c r="H518" s="2"/>
      <c r="I518" s="2"/>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4">
      <c r="A519" s="28"/>
      <c r="B519" s="1"/>
      <c r="C519" s="1"/>
      <c r="D519" s="110"/>
      <c r="E519" s="1"/>
      <c r="F519" s="1"/>
      <c r="G519" s="1"/>
      <c r="H519" s="2"/>
      <c r="I519" s="2"/>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4">
      <c r="A520" s="28"/>
      <c r="B520" s="1"/>
      <c r="C520" s="1"/>
      <c r="D520" s="110"/>
      <c r="E520" s="1"/>
      <c r="F520" s="1"/>
      <c r="G520" s="1"/>
      <c r="H520" s="2"/>
      <c r="I520" s="2"/>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4">
      <c r="A521" s="28"/>
      <c r="B521" s="1"/>
      <c r="C521" s="1"/>
      <c r="D521" s="110"/>
      <c r="E521" s="1"/>
      <c r="F521" s="1"/>
      <c r="G521" s="1"/>
      <c r="H521" s="2"/>
      <c r="I521" s="2"/>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4">
      <c r="A522" s="28"/>
      <c r="B522" s="1"/>
      <c r="C522" s="1"/>
      <c r="D522" s="110"/>
      <c r="E522" s="1"/>
      <c r="F522" s="1"/>
      <c r="G522" s="1"/>
      <c r="H522" s="2"/>
      <c r="I522" s="2"/>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4">
      <c r="A523" s="28"/>
      <c r="B523" s="1"/>
      <c r="C523" s="1"/>
      <c r="D523" s="110"/>
      <c r="E523" s="1"/>
      <c r="F523" s="1"/>
      <c r="G523" s="1"/>
      <c r="H523" s="2"/>
      <c r="I523" s="2"/>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4">
      <c r="A524" s="28"/>
      <c r="B524" s="1"/>
      <c r="C524" s="1"/>
      <c r="D524" s="110"/>
      <c r="E524" s="1"/>
      <c r="F524" s="1"/>
      <c r="G524" s="1"/>
      <c r="H524" s="2"/>
      <c r="I524" s="2"/>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4">
      <c r="A525" s="28"/>
      <c r="B525" s="1"/>
      <c r="C525" s="1"/>
      <c r="D525" s="110"/>
      <c r="E525" s="1"/>
      <c r="F525" s="1"/>
      <c r="G525" s="1"/>
      <c r="H525" s="2"/>
      <c r="I525" s="2"/>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4">
      <c r="A526" s="28"/>
      <c r="B526" s="1"/>
      <c r="C526" s="1"/>
      <c r="D526" s="110"/>
      <c r="E526" s="1"/>
      <c r="F526" s="1"/>
      <c r="G526" s="1"/>
      <c r="H526" s="2"/>
      <c r="I526" s="2"/>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4">
      <c r="A527" s="28"/>
      <c r="B527" s="1"/>
      <c r="C527" s="1"/>
      <c r="D527" s="110"/>
      <c r="E527" s="1"/>
      <c r="F527" s="1"/>
      <c r="G527" s="1"/>
      <c r="H527" s="2"/>
      <c r="I527" s="2"/>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4">
      <c r="A528" s="28"/>
      <c r="B528" s="1"/>
      <c r="C528" s="1"/>
      <c r="D528" s="110"/>
      <c r="E528" s="1"/>
      <c r="F528" s="1"/>
      <c r="G528" s="1"/>
      <c r="H528" s="2"/>
      <c r="I528" s="2"/>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4">
      <c r="A529" s="28"/>
      <c r="B529" s="1"/>
      <c r="C529" s="1"/>
      <c r="D529" s="110"/>
      <c r="E529" s="1"/>
      <c r="F529" s="1"/>
      <c r="G529" s="1"/>
      <c r="H529" s="2"/>
      <c r="I529" s="2"/>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4">
      <c r="A530" s="28"/>
      <c r="B530" s="1"/>
      <c r="C530" s="1"/>
      <c r="D530" s="110"/>
      <c r="E530" s="1"/>
      <c r="F530" s="1"/>
      <c r="G530" s="1"/>
      <c r="H530" s="2"/>
      <c r="I530" s="2"/>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4">
      <c r="A531" s="28"/>
      <c r="B531" s="1"/>
      <c r="C531" s="1"/>
      <c r="D531" s="110"/>
      <c r="E531" s="1"/>
      <c r="F531" s="1"/>
      <c r="G531" s="1"/>
      <c r="H531" s="2"/>
      <c r="I531" s="2"/>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4">
      <c r="A532" s="28"/>
      <c r="B532" s="1"/>
      <c r="C532" s="1"/>
      <c r="D532" s="110"/>
      <c r="E532" s="1"/>
      <c r="F532" s="1"/>
      <c r="G532" s="1"/>
      <c r="H532" s="2"/>
      <c r="I532" s="2"/>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4">
      <c r="A533" s="28"/>
      <c r="B533" s="1"/>
      <c r="C533" s="1"/>
      <c r="D533" s="110"/>
      <c r="E533" s="1"/>
      <c r="F533" s="1"/>
      <c r="G533" s="1"/>
      <c r="H533" s="2"/>
      <c r="I533" s="2"/>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4">
      <c r="A534" s="28"/>
      <c r="B534" s="1"/>
      <c r="C534" s="1"/>
      <c r="D534" s="110"/>
      <c r="E534" s="1"/>
      <c r="F534" s="1"/>
      <c r="G534" s="1"/>
      <c r="H534" s="2"/>
      <c r="I534" s="2"/>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4">
      <c r="A535" s="28"/>
      <c r="B535" s="1"/>
      <c r="C535" s="1"/>
      <c r="D535" s="110"/>
      <c r="E535" s="1"/>
      <c r="F535" s="1"/>
      <c r="G535" s="1"/>
      <c r="H535" s="2"/>
      <c r="I535" s="2"/>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4">
      <c r="A536" s="28"/>
      <c r="B536" s="1"/>
      <c r="C536" s="1"/>
      <c r="D536" s="110"/>
      <c r="E536" s="1"/>
      <c r="F536" s="1"/>
      <c r="G536" s="1"/>
      <c r="H536" s="2"/>
      <c r="I536" s="2"/>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4">
      <c r="A537" s="28"/>
      <c r="B537" s="1"/>
      <c r="C537" s="1"/>
      <c r="D537" s="110"/>
      <c r="E537" s="1"/>
      <c r="F537" s="1"/>
      <c r="G537" s="1"/>
      <c r="H537" s="2"/>
      <c r="I537" s="2"/>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4">
      <c r="A538" s="28"/>
      <c r="B538" s="1"/>
      <c r="C538" s="1"/>
      <c r="D538" s="110"/>
      <c r="E538" s="1"/>
      <c r="F538" s="1"/>
      <c r="G538" s="1"/>
      <c r="H538" s="2"/>
      <c r="I538" s="2"/>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4">
      <c r="A539" s="28"/>
      <c r="B539" s="1"/>
      <c r="C539" s="1"/>
      <c r="D539" s="110"/>
      <c r="E539" s="1"/>
      <c r="F539" s="1"/>
      <c r="G539" s="1"/>
      <c r="H539" s="2"/>
      <c r="I539" s="2"/>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4">
      <c r="A540" s="28"/>
      <c r="B540" s="1"/>
      <c r="C540" s="1"/>
      <c r="D540" s="110"/>
      <c r="E540" s="1"/>
      <c r="F540" s="1"/>
      <c r="G540" s="1"/>
      <c r="H540" s="2"/>
      <c r="I540" s="2"/>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4">
      <c r="A541" s="28"/>
      <c r="B541" s="1"/>
      <c r="C541" s="1"/>
      <c r="D541" s="110"/>
      <c r="E541" s="1"/>
      <c r="F541" s="1"/>
      <c r="G541" s="1"/>
      <c r="H541" s="2"/>
      <c r="I541" s="2"/>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4">
      <c r="A542" s="28"/>
      <c r="B542" s="1"/>
      <c r="C542" s="1"/>
      <c r="D542" s="110"/>
      <c r="E542" s="1"/>
      <c r="F542" s="1"/>
      <c r="G542" s="1"/>
      <c r="H542" s="2"/>
      <c r="I542" s="2"/>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4">
      <c r="A543" s="28"/>
      <c r="B543" s="1"/>
      <c r="C543" s="1"/>
      <c r="D543" s="110"/>
      <c r="E543" s="1"/>
      <c r="F543" s="1"/>
      <c r="G543" s="1"/>
      <c r="H543" s="2"/>
      <c r="I543" s="2"/>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4">
      <c r="A544" s="28"/>
      <c r="B544" s="1"/>
      <c r="C544" s="1"/>
      <c r="D544" s="110"/>
      <c r="E544" s="1"/>
      <c r="F544" s="1"/>
      <c r="G544" s="1"/>
      <c r="H544" s="2"/>
      <c r="I544" s="2"/>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4">
      <c r="A545" s="28"/>
      <c r="B545" s="1"/>
      <c r="C545" s="1"/>
      <c r="D545" s="110"/>
      <c r="E545" s="1"/>
      <c r="F545" s="1"/>
      <c r="G545" s="1"/>
      <c r="H545" s="2"/>
      <c r="I545" s="2"/>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4">
      <c r="A546" s="28"/>
      <c r="B546" s="1"/>
      <c r="C546" s="1"/>
      <c r="D546" s="110"/>
      <c r="E546" s="1"/>
      <c r="F546" s="1"/>
      <c r="G546" s="1"/>
      <c r="H546" s="2"/>
      <c r="I546" s="2"/>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4">
      <c r="A547" s="28"/>
      <c r="B547" s="1"/>
      <c r="C547" s="1"/>
      <c r="D547" s="110"/>
      <c r="E547" s="1"/>
      <c r="F547" s="1"/>
      <c r="G547" s="1"/>
      <c r="H547" s="2"/>
      <c r="I547" s="2"/>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4">
      <c r="A548" s="28"/>
      <c r="B548" s="1"/>
      <c r="C548" s="1"/>
      <c r="D548" s="110"/>
      <c r="E548" s="1"/>
      <c r="F548" s="1"/>
      <c r="G548" s="1"/>
      <c r="H548" s="2"/>
      <c r="I548" s="2"/>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4">
      <c r="A549" s="28"/>
      <c r="B549" s="1"/>
      <c r="C549" s="1"/>
      <c r="D549" s="110"/>
      <c r="E549" s="1"/>
      <c r="F549" s="1"/>
      <c r="G549" s="1"/>
      <c r="H549" s="2"/>
      <c r="I549" s="2"/>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4">
      <c r="A550" s="28"/>
      <c r="B550" s="1"/>
      <c r="C550" s="1"/>
      <c r="D550" s="110"/>
      <c r="E550" s="1"/>
      <c r="F550" s="1"/>
      <c r="G550" s="1"/>
      <c r="H550" s="2"/>
      <c r="I550" s="2"/>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4">
      <c r="A551" s="28"/>
      <c r="B551" s="1"/>
      <c r="C551" s="1"/>
      <c r="D551" s="110"/>
      <c r="E551" s="1"/>
      <c r="F551" s="1"/>
      <c r="G551" s="1"/>
      <c r="H551" s="2"/>
      <c r="I551" s="2"/>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4">
      <c r="A552" s="28"/>
      <c r="B552" s="1"/>
      <c r="C552" s="1"/>
      <c r="D552" s="110"/>
      <c r="E552" s="1"/>
      <c r="F552" s="1"/>
      <c r="G552" s="1"/>
      <c r="H552" s="2"/>
      <c r="I552" s="2"/>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4">
      <c r="A553" s="28"/>
      <c r="B553" s="1"/>
      <c r="C553" s="1"/>
      <c r="D553" s="110"/>
      <c r="E553" s="1"/>
      <c r="F553" s="1"/>
      <c r="G553" s="1"/>
      <c r="H553" s="2"/>
      <c r="I553" s="2"/>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4">
      <c r="A554" s="28"/>
      <c r="B554" s="1"/>
      <c r="C554" s="1"/>
      <c r="D554" s="110"/>
      <c r="E554" s="1"/>
      <c r="F554" s="1"/>
      <c r="G554" s="1"/>
      <c r="H554" s="2"/>
      <c r="I554" s="2"/>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4">
      <c r="A555" s="28"/>
      <c r="B555" s="1"/>
      <c r="C555" s="1"/>
      <c r="D555" s="110"/>
      <c r="E555" s="1"/>
      <c r="F555" s="1"/>
      <c r="G555" s="1"/>
      <c r="H555" s="2"/>
      <c r="I555" s="2"/>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4">
      <c r="A556" s="28"/>
      <c r="B556" s="1"/>
      <c r="C556" s="1"/>
      <c r="D556" s="110"/>
      <c r="E556" s="1"/>
      <c r="F556" s="1"/>
      <c r="G556" s="1"/>
      <c r="H556" s="2"/>
      <c r="I556" s="2"/>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4">
      <c r="A557" s="28"/>
      <c r="B557" s="1"/>
      <c r="C557" s="1"/>
      <c r="D557" s="110"/>
      <c r="E557" s="1"/>
      <c r="F557" s="1"/>
      <c r="G557" s="1"/>
      <c r="H557" s="2"/>
      <c r="I557" s="2"/>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4">
      <c r="A558" s="28"/>
      <c r="B558" s="1"/>
      <c r="C558" s="1"/>
      <c r="D558" s="110"/>
      <c r="E558" s="1"/>
      <c r="F558" s="1"/>
      <c r="G558" s="1"/>
      <c r="H558" s="2"/>
      <c r="I558" s="2"/>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4">
      <c r="A559" s="28"/>
      <c r="B559" s="1"/>
      <c r="C559" s="1"/>
      <c r="D559" s="110"/>
      <c r="E559" s="1"/>
      <c r="F559" s="1"/>
      <c r="G559" s="1"/>
      <c r="H559" s="2"/>
      <c r="I559" s="2"/>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4">
      <c r="A560" s="28"/>
      <c r="B560" s="1"/>
      <c r="C560" s="1"/>
      <c r="D560" s="110"/>
      <c r="E560" s="1"/>
      <c r="F560" s="1"/>
      <c r="G560" s="1"/>
      <c r="H560" s="2"/>
      <c r="I560" s="2"/>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4">
      <c r="A561" s="28"/>
      <c r="B561" s="1"/>
      <c r="C561" s="1"/>
      <c r="D561" s="110"/>
      <c r="E561" s="1"/>
      <c r="F561" s="1"/>
      <c r="G561" s="1"/>
      <c r="H561" s="2"/>
      <c r="I561" s="2"/>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4">
      <c r="A562" s="28"/>
      <c r="B562" s="1"/>
      <c r="C562" s="1"/>
      <c r="D562" s="110"/>
      <c r="E562" s="1"/>
      <c r="F562" s="1"/>
      <c r="G562" s="1"/>
      <c r="H562" s="2"/>
      <c r="I562" s="2"/>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4">
      <c r="A563" s="28"/>
      <c r="B563" s="1"/>
      <c r="C563" s="1"/>
      <c r="D563" s="110"/>
      <c r="E563" s="1"/>
      <c r="F563" s="1"/>
      <c r="G563" s="1"/>
      <c r="H563" s="2"/>
      <c r="I563" s="2"/>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4">
      <c r="A564" s="28"/>
      <c r="B564" s="1"/>
      <c r="C564" s="1"/>
      <c r="D564" s="110"/>
      <c r="E564" s="1"/>
      <c r="F564" s="1"/>
      <c r="G564" s="1"/>
      <c r="H564" s="2"/>
      <c r="I564" s="2"/>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4">
      <c r="A565" s="28"/>
      <c r="B565" s="1"/>
      <c r="C565" s="1"/>
      <c r="D565" s="110"/>
      <c r="E565" s="1"/>
      <c r="F565" s="1"/>
      <c r="G565" s="1"/>
      <c r="H565" s="2"/>
      <c r="I565" s="2"/>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4">
      <c r="A566" s="28"/>
      <c r="B566" s="1"/>
      <c r="C566" s="1"/>
      <c r="D566" s="110"/>
      <c r="E566" s="1"/>
      <c r="F566" s="1"/>
      <c r="G566" s="1"/>
      <c r="H566" s="2"/>
      <c r="I566" s="2"/>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4">
      <c r="A567" s="28"/>
      <c r="B567" s="1"/>
      <c r="C567" s="1"/>
      <c r="D567" s="110"/>
      <c r="E567" s="1"/>
      <c r="F567" s="1"/>
      <c r="G567" s="1"/>
      <c r="H567" s="2"/>
      <c r="I567" s="2"/>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4">
      <c r="A568" s="28"/>
      <c r="B568" s="1"/>
      <c r="C568" s="1"/>
      <c r="D568" s="110"/>
      <c r="E568" s="1"/>
      <c r="F568" s="1"/>
      <c r="G568" s="1"/>
      <c r="H568" s="2"/>
      <c r="I568" s="2"/>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4">
      <c r="A569" s="28"/>
      <c r="B569" s="1"/>
      <c r="C569" s="1"/>
      <c r="D569" s="110"/>
      <c r="E569" s="1"/>
      <c r="F569" s="1"/>
      <c r="G569" s="1"/>
      <c r="H569" s="2"/>
      <c r="I569" s="2"/>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4">
      <c r="A570" s="28"/>
      <c r="B570" s="1"/>
      <c r="C570" s="1"/>
      <c r="D570" s="110"/>
      <c r="E570" s="1"/>
      <c r="F570" s="1"/>
      <c r="G570" s="1"/>
      <c r="H570" s="2"/>
      <c r="I570" s="2"/>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4">
      <c r="A571" s="28"/>
      <c r="B571" s="1"/>
      <c r="C571" s="1"/>
      <c r="D571" s="110"/>
      <c r="E571" s="1"/>
      <c r="F571" s="1"/>
      <c r="G571" s="1"/>
      <c r="H571" s="2"/>
      <c r="I571" s="2"/>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4">
      <c r="A572" s="28"/>
      <c r="B572" s="1"/>
      <c r="C572" s="1"/>
      <c r="D572" s="110"/>
      <c r="E572" s="1"/>
      <c r="F572" s="1"/>
      <c r="G572" s="1"/>
      <c r="H572" s="2"/>
      <c r="I572" s="2"/>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4">
      <c r="A573" s="28"/>
      <c r="B573" s="1"/>
      <c r="C573" s="1"/>
      <c r="D573" s="110"/>
      <c r="E573" s="1"/>
      <c r="F573" s="1"/>
      <c r="G573" s="1"/>
      <c r="H573" s="2"/>
      <c r="I573" s="2"/>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4">
      <c r="A574" s="28"/>
      <c r="B574" s="1"/>
      <c r="C574" s="1"/>
      <c r="D574" s="110"/>
      <c r="E574" s="1"/>
      <c r="F574" s="1"/>
      <c r="G574" s="1"/>
      <c r="H574" s="2"/>
      <c r="I574" s="2"/>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4">
      <c r="A575" s="28"/>
      <c r="B575" s="1"/>
      <c r="C575" s="1"/>
      <c r="D575" s="110"/>
      <c r="E575" s="1"/>
      <c r="F575" s="1"/>
      <c r="G575" s="1"/>
      <c r="H575" s="2"/>
      <c r="I575" s="2"/>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4">
      <c r="A576" s="28"/>
      <c r="B576" s="1"/>
      <c r="C576" s="1"/>
      <c r="D576" s="110"/>
      <c r="E576" s="1"/>
      <c r="F576" s="1"/>
      <c r="G576" s="1"/>
      <c r="H576" s="2"/>
      <c r="I576" s="2"/>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4">
      <c r="A577" s="28"/>
      <c r="B577" s="1"/>
      <c r="C577" s="1"/>
      <c r="D577" s="110"/>
      <c r="E577" s="1"/>
      <c r="F577" s="1"/>
      <c r="G577" s="1"/>
      <c r="H577" s="2"/>
      <c r="I577" s="2"/>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4">
      <c r="A578" s="28"/>
      <c r="B578" s="1"/>
      <c r="C578" s="1"/>
      <c r="D578" s="110"/>
      <c r="E578" s="1"/>
      <c r="F578" s="1"/>
      <c r="G578" s="1"/>
      <c r="H578" s="2"/>
      <c r="I578" s="2"/>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4">
      <c r="A579" s="28"/>
      <c r="B579" s="1"/>
      <c r="C579" s="1"/>
      <c r="D579" s="110"/>
      <c r="E579" s="1"/>
      <c r="F579" s="1"/>
      <c r="G579" s="1"/>
      <c r="H579" s="2"/>
      <c r="I579" s="2"/>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4">
      <c r="A580" s="28"/>
      <c r="B580" s="1"/>
      <c r="C580" s="1"/>
      <c r="D580" s="110"/>
      <c r="E580" s="1"/>
      <c r="F580" s="1"/>
      <c r="G580" s="1"/>
      <c r="H580" s="2"/>
      <c r="I580" s="2"/>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4">
      <c r="A581" s="28"/>
      <c r="B581" s="1"/>
      <c r="C581" s="1"/>
      <c r="D581" s="110"/>
      <c r="E581" s="1"/>
      <c r="F581" s="1"/>
      <c r="G581" s="1"/>
      <c r="H581" s="2"/>
      <c r="I581" s="2"/>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4">
      <c r="A582" s="28"/>
      <c r="B582" s="1"/>
      <c r="C582" s="1"/>
      <c r="D582" s="110"/>
      <c r="E582" s="1"/>
      <c r="F582" s="1"/>
      <c r="G582" s="1"/>
      <c r="H582" s="2"/>
      <c r="I582" s="2"/>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4">
      <c r="A583" s="28"/>
      <c r="B583" s="1"/>
      <c r="C583" s="1"/>
      <c r="D583" s="110"/>
      <c r="E583" s="1"/>
      <c r="F583" s="1"/>
      <c r="G583" s="1"/>
      <c r="H583" s="2"/>
      <c r="I583" s="2"/>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4">
      <c r="A584" s="28"/>
      <c r="B584" s="1"/>
      <c r="C584" s="1"/>
      <c r="D584" s="110"/>
      <c r="E584" s="1"/>
      <c r="F584" s="1"/>
      <c r="G584" s="1"/>
      <c r="H584" s="2"/>
      <c r="I584" s="2"/>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4">
      <c r="A585" s="28"/>
      <c r="B585" s="1"/>
      <c r="C585" s="1"/>
      <c r="D585" s="110"/>
      <c r="E585" s="1"/>
      <c r="F585" s="1"/>
      <c r="G585" s="1"/>
      <c r="H585" s="2"/>
      <c r="I585" s="2"/>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4">
      <c r="A586" s="28"/>
      <c r="B586" s="1"/>
      <c r="C586" s="1"/>
      <c r="D586" s="110"/>
      <c r="E586" s="1"/>
      <c r="F586" s="1"/>
      <c r="G586" s="1"/>
      <c r="H586" s="2"/>
      <c r="I586" s="2"/>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4">
      <c r="A587" s="28"/>
      <c r="B587" s="1"/>
      <c r="C587" s="1"/>
      <c r="D587" s="110"/>
      <c r="E587" s="1"/>
      <c r="F587" s="1"/>
      <c r="G587" s="1"/>
      <c r="H587" s="2"/>
      <c r="I587" s="2"/>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4">
      <c r="A588" s="28"/>
      <c r="B588" s="1"/>
      <c r="C588" s="1"/>
      <c r="D588" s="110"/>
      <c r="E588" s="1"/>
      <c r="F588" s="1"/>
      <c r="G588" s="1"/>
      <c r="H588" s="2"/>
      <c r="I588" s="2"/>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4">
      <c r="A589" s="28"/>
      <c r="B589" s="1"/>
      <c r="C589" s="1"/>
      <c r="D589" s="110"/>
      <c r="E589" s="1"/>
      <c r="F589" s="1"/>
      <c r="G589" s="1"/>
      <c r="H589" s="2"/>
      <c r="I589" s="2"/>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4">
      <c r="A590" s="28"/>
      <c r="B590" s="1"/>
      <c r="C590" s="1"/>
      <c r="D590" s="110"/>
      <c r="E590" s="1"/>
      <c r="F590" s="1"/>
      <c r="G590" s="1"/>
      <c r="H590" s="2"/>
      <c r="I590" s="2"/>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4">
      <c r="A591" s="28"/>
      <c r="B591" s="1"/>
      <c r="C591" s="1"/>
      <c r="D591" s="110"/>
      <c r="E591" s="1"/>
      <c r="F591" s="1"/>
      <c r="G591" s="1"/>
      <c r="H591" s="2"/>
      <c r="I591" s="2"/>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4">
      <c r="A592" s="28"/>
      <c r="B592" s="1"/>
      <c r="C592" s="1"/>
      <c r="D592" s="110"/>
      <c r="E592" s="1"/>
      <c r="F592" s="1"/>
      <c r="G592" s="1"/>
      <c r="H592" s="2"/>
      <c r="I592" s="2"/>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4">
      <c r="A593" s="28"/>
      <c r="B593" s="1"/>
      <c r="C593" s="1"/>
      <c r="D593" s="110"/>
      <c r="E593" s="1"/>
      <c r="F593" s="1"/>
      <c r="G593" s="1"/>
      <c r="H593" s="2"/>
      <c r="I593" s="2"/>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4">
      <c r="A594" s="28"/>
      <c r="B594" s="1"/>
      <c r="C594" s="1"/>
      <c r="D594" s="110"/>
      <c r="E594" s="1"/>
      <c r="F594" s="1"/>
      <c r="G594" s="1"/>
      <c r="H594" s="2"/>
      <c r="I594" s="2"/>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4">
      <c r="A595" s="28"/>
      <c r="B595" s="1"/>
      <c r="C595" s="1"/>
      <c r="D595" s="110"/>
      <c r="E595" s="1"/>
      <c r="F595" s="1"/>
      <c r="G595" s="1"/>
      <c r="H595" s="2"/>
      <c r="I595" s="2"/>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4">
      <c r="A596" s="28"/>
      <c r="B596" s="1"/>
      <c r="C596" s="1"/>
      <c r="D596" s="110"/>
      <c r="E596" s="1"/>
      <c r="F596" s="1"/>
      <c r="G596" s="1"/>
      <c r="H596" s="2"/>
      <c r="I596" s="2"/>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4">
      <c r="A597" s="28"/>
      <c r="B597" s="1"/>
      <c r="C597" s="1"/>
      <c r="D597" s="110"/>
      <c r="E597" s="1"/>
      <c r="F597" s="1"/>
      <c r="G597" s="1"/>
      <c r="H597" s="2"/>
      <c r="I597" s="2"/>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4">
      <c r="A598" s="28"/>
      <c r="B598" s="1"/>
      <c r="C598" s="1"/>
      <c r="D598" s="110"/>
      <c r="E598" s="1"/>
      <c r="F598" s="1"/>
      <c r="G598" s="1"/>
      <c r="H598" s="2"/>
      <c r="I598" s="2"/>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4">
      <c r="A599" s="28"/>
      <c r="B599" s="1"/>
      <c r="C599" s="1"/>
      <c r="D599" s="110"/>
      <c r="E599" s="1"/>
      <c r="F599" s="1"/>
      <c r="G599" s="1"/>
      <c r="H599" s="2"/>
      <c r="I599" s="2"/>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4">
      <c r="A600" s="28"/>
      <c r="B600" s="1"/>
      <c r="C600" s="1"/>
      <c r="D600" s="110"/>
      <c r="E600" s="1"/>
      <c r="F600" s="1"/>
      <c r="G600" s="1"/>
      <c r="H600" s="2"/>
      <c r="I600" s="2"/>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4">
      <c r="A601" s="28"/>
      <c r="B601" s="1"/>
      <c r="C601" s="1"/>
      <c r="D601" s="110"/>
      <c r="E601" s="1"/>
      <c r="F601" s="1"/>
      <c r="G601" s="1"/>
      <c r="H601" s="2"/>
      <c r="I601" s="2"/>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4">
      <c r="A602" s="28"/>
      <c r="B602" s="1"/>
      <c r="C602" s="1"/>
      <c r="D602" s="110"/>
      <c r="E602" s="1"/>
      <c r="F602" s="1"/>
      <c r="G602" s="1"/>
      <c r="H602" s="2"/>
      <c r="I602" s="2"/>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4">
      <c r="A603" s="28"/>
      <c r="B603" s="1"/>
      <c r="C603" s="1"/>
      <c r="D603" s="110"/>
      <c r="E603" s="1"/>
      <c r="F603" s="1"/>
      <c r="G603" s="1"/>
      <c r="H603" s="2"/>
      <c r="I603" s="2"/>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4">
      <c r="A604" s="28"/>
      <c r="B604" s="1"/>
      <c r="C604" s="1"/>
      <c r="D604" s="110"/>
      <c r="E604" s="1"/>
      <c r="F604" s="1"/>
      <c r="G604" s="1"/>
      <c r="H604" s="2"/>
      <c r="I604" s="2"/>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4">
      <c r="A605" s="28"/>
      <c r="B605" s="1"/>
      <c r="C605" s="1"/>
      <c r="D605" s="110"/>
      <c r="E605" s="1"/>
      <c r="F605" s="1"/>
      <c r="G605" s="1"/>
      <c r="H605" s="2"/>
      <c r="I605" s="2"/>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4">
      <c r="A606" s="28"/>
      <c r="B606" s="1"/>
      <c r="C606" s="1"/>
      <c r="D606" s="110"/>
      <c r="E606" s="1"/>
      <c r="F606" s="1"/>
      <c r="G606" s="1"/>
      <c r="H606" s="2"/>
      <c r="I606" s="2"/>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4">
      <c r="A607" s="28"/>
      <c r="B607" s="1"/>
      <c r="C607" s="1"/>
      <c r="D607" s="110"/>
      <c r="E607" s="1"/>
      <c r="F607" s="1"/>
      <c r="G607" s="1"/>
      <c r="H607" s="2"/>
      <c r="I607" s="2"/>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4">
      <c r="A608" s="28"/>
      <c r="B608" s="1"/>
      <c r="C608" s="1"/>
      <c r="D608" s="110"/>
      <c r="E608" s="1"/>
      <c r="F608" s="1"/>
      <c r="G608" s="1"/>
      <c r="H608" s="2"/>
      <c r="I608" s="2"/>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4">
      <c r="A609" s="28"/>
      <c r="B609" s="1"/>
      <c r="C609" s="1"/>
      <c r="D609" s="110"/>
      <c r="E609" s="1"/>
      <c r="F609" s="1"/>
      <c r="G609" s="1"/>
      <c r="H609" s="2"/>
      <c r="I609" s="2"/>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4">
      <c r="A610" s="28"/>
      <c r="B610" s="1"/>
      <c r="C610" s="1"/>
      <c r="D610" s="110"/>
      <c r="E610" s="1"/>
      <c r="F610" s="1"/>
      <c r="G610" s="1"/>
      <c r="H610" s="2"/>
      <c r="I610" s="2"/>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4">
      <c r="A611" s="28"/>
      <c r="B611" s="1"/>
      <c r="C611" s="1"/>
      <c r="D611" s="110"/>
      <c r="E611" s="1"/>
      <c r="F611" s="1"/>
      <c r="G611" s="1"/>
      <c r="H611" s="2"/>
      <c r="I611" s="2"/>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4">
      <c r="A612" s="28"/>
      <c r="B612" s="1"/>
      <c r="C612" s="1"/>
      <c r="D612" s="110"/>
      <c r="E612" s="1"/>
      <c r="F612" s="1"/>
      <c r="G612" s="1"/>
      <c r="H612" s="2"/>
      <c r="I612" s="2"/>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4">
      <c r="A613" s="28"/>
      <c r="B613" s="1"/>
      <c r="C613" s="1"/>
      <c r="D613" s="110"/>
      <c r="E613" s="1"/>
      <c r="F613" s="1"/>
      <c r="G613" s="1"/>
      <c r="H613" s="2"/>
      <c r="I613" s="2"/>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4">
      <c r="A614" s="28"/>
      <c r="B614" s="1"/>
      <c r="C614" s="1"/>
      <c r="D614" s="110"/>
      <c r="E614" s="1"/>
      <c r="F614" s="1"/>
      <c r="G614" s="1"/>
      <c r="H614" s="2"/>
      <c r="I614" s="2"/>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4">
      <c r="A615" s="28"/>
      <c r="B615" s="1"/>
      <c r="C615" s="1"/>
      <c r="D615" s="110"/>
      <c r="E615" s="1"/>
      <c r="F615" s="1"/>
      <c r="G615" s="1"/>
      <c r="H615" s="2"/>
      <c r="I615" s="2"/>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4">
      <c r="A616" s="28"/>
      <c r="B616" s="1"/>
      <c r="C616" s="1"/>
      <c r="D616" s="110"/>
      <c r="E616" s="1"/>
      <c r="F616" s="1"/>
      <c r="G616" s="1"/>
      <c r="H616" s="2"/>
      <c r="I616" s="2"/>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4">
      <c r="A617" s="28"/>
      <c r="B617" s="1"/>
      <c r="C617" s="1"/>
      <c r="D617" s="110"/>
      <c r="E617" s="1"/>
      <c r="F617" s="1"/>
      <c r="G617" s="1"/>
      <c r="H617" s="2"/>
      <c r="I617" s="2"/>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4">
      <c r="A618" s="28"/>
      <c r="B618" s="1"/>
      <c r="C618" s="1"/>
      <c r="D618" s="110"/>
      <c r="E618" s="1"/>
      <c r="F618" s="1"/>
      <c r="G618" s="1"/>
      <c r="H618" s="2"/>
      <c r="I618" s="2"/>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4">
      <c r="A619" s="28"/>
      <c r="B619" s="1"/>
      <c r="C619" s="1"/>
      <c r="D619" s="110"/>
      <c r="E619" s="1"/>
      <c r="F619" s="1"/>
      <c r="G619" s="1"/>
      <c r="H619" s="2"/>
      <c r="I619" s="2"/>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4">
      <c r="A620" s="28"/>
      <c r="B620" s="1"/>
      <c r="C620" s="1"/>
      <c r="D620" s="110"/>
      <c r="E620" s="1"/>
      <c r="F620" s="1"/>
      <c r="G620" s="1"/>
      <c r="H620" s="2"/>
      <c r="I620" s="2"/>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4">
      <c r="A621" s="28"/>
      <c r="B621" s="1"/>
      <c r="C621" s="1"/>
      <c r="D621" s="110"/>
      <c r="E621" s="1"/>
      <c r="F621" s="1"/>
      <c r="G621" s="1"/>
      <c r="H621" s="2"/>
      <c r="I621" s="2"/>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4">
      <c r="A622" s="28"/>
      <c r="B622" s="1"/>
      <c r="C622" s="1"/>
      <c r="D622" s="110"/>
      <c r="E622" s="1"/>
      <c r="F622" s="1"/>
      <c r="G622" s="1"/>
      <c r="H622" s="2"/>
      <c r="I622" s="2"/>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4">
      <c r="A623" s="28"/>
      <c r="B623" s="1"/>
      <c r="C623" s="1"/>
      <c r="D623" s="110"/>
      <c r="E623" s="1"/>
      <c r="F623" s="1"/>
      <c r="G623" s="1"/>
      <c r="H623" s="2"/>
      <c r="I623" s="2"/>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4">
      <c r="A624" s="28"/>
      <c r="B624" s="1"/>
      <c r="C624" s="1"/>
      <c r="D624" s="110"/>
      <c r="E624" s="1"/>
      <c r="F624" s="1"/>
      <c r="G624" s="1"/>
      <c r="H624" s="2"/>
      <c r="I624" s="2"/>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4">
      <c r="A625" s="28"/>
      <c r="B625" s="1"/>
      <c r="C625" s="1"/>
      <c r="D625" s="110"/>
      <c r="E625" s="1"/>
      <c r="F625" s="1"/>
      <c r="G625" s="1"/>
      <c r="H625" s="2"/>
      <c r="I625" s="2"/>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4">
      <c r="A626" s="28"/>
      <c r="B626" s="1"/>
      <c r="C626" s="1"/>
      <c r="D626" s="110"/>
      <c r="E626" s="1"/>
      <c r="F626" s="1"/>
      <c r="G626" s="1"/>
      <c r="H626" s="2"/>
      <c r="I626" s="2"/>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4">
      <c r="A627" s="28"/>
      <c r="B627" s="1"/>
      <c r="C627" s="1"/>
      <c r="D627" s="110"/>
      <c r="E627" s="1"/>
      <c r="F627" s="1"/>
      <c r="G627" s="1"/>
      <c r="H627" s="2"/>
      <c r="I627" s="2"/>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4">
      <c r="A628" s="28"/>
      <c r="B628" s="1"/>
      <c r="C628" s="1"/>
      <c r="D628" s="110"/>
      <c r="E628" s="1"/>
      <c r="F628" s="1"/>
      <c r="G628" s="1"/>
      <c r="H628" s="2"/>
      <c r="I628" s="2"/>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4">
      <c r="A629" s="28"/>
      <c r="B629" s="1"/>
      <c r="C629" s="1"/>
      <c r="D629" s="110"/>
      <c r="E629" s="1"/>
      <c r="F629" s="1"/>
      <c r="G629" s="1"/>
      <c r="H629" s="2"/>
      <c r="I629" s="2"/>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4">
      <c r="A630" s="28"/>
      <c r="B630" s="1"/>
      <c r="C630" s="1"/>
      <c r="D630" s="110"/>
      <c r="E630" s="1"/>
      <c r="F630" s="1"/>
      <c r="G630" s="1"/>
      <c r="H630" s="2"/>
      <c r="I630" s="2"/>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4">
      <c r="A631" s="28"/>
      <c r="B631" s="1"/>
      <c r="C631" s="1"/>
      <c r="D631" s="110"/>
      <c r="E631" s="1"/>
      <c r="F631" s="1"/>
      <c r="G631" s="1"/>
      <c r="H631" s="2"/>
      <c r="I631" s="2"/>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4">
      <c r="A632" s="28"/>
      <c r="B632" s="1"/>
      <c r="C632" s="1"/>
      <c r="D632" s="110"/>
      <c r="E632" s="1"/>
      <c r="F632" s="1"/>
      <c r="G632" s="1"/>
      <c r="H632" s="2"/>
      <c r="I632" s="2"/>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4">
      <c r="A633" s="28"/>
      <c r="B633" s="1"/>
      <c r="C633" s="1"/>
      <c r="D633" s="110"/>
      <c r="E633" s="1"/>
      <c r="F633" s="1"/>
      <c r="G633" s="1"/>
      <c r="H633" s="2"/>
      <c r="I633" s="2"/>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4">
      <c r="A634" s="28"/>
      <c r="B634" s="1"/>
      <c r="C634" s="1"/>
      <c r="D634" s="110"/>
      <c r="E634" s="1"/>
      <c r="F634" s="1"/>
      <c r="G634" s="1"/>
      <c r="H634" s="2"/>
      <c r="I634" s="2"/>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4">
      <c r="A635" s="28"/>
      <c r="B635" s="1"/>
      <c r="C635" s="1"/>
      <c r="D635" s="110"/>
      <c r="E635" s="1"/>
      <c r="F635" s="1"/>
      <c r="G635" s="1"/>
      <c r="H635" s="2"/>
      <c r="I635" s="2"/>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4">
      <c r="A636" s="28"/>
      <c r="B636" s="1"/>
      <c r="C636" s="1"/>
      <c r="D636" s="110"/>
      <c r="E636" s="1"/>
      <c r="F636" s="1"/>
      <c r="G636" s="1"/>
      <c r="H636" s="2"/>
      <c r="I636" s="2"/>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4">
      <c r="A637" s="28"/>
      <c r="B637" s="1"/>
      <c r="C637" s="1"/>
      <c r="D637" s="110"/>
      <c r="E637" s="1"/>
      <c r="F637" s="1"/>
      <c r="G637" s="1"/>
      <c r="H637" s="2"/>
      <c r="I637" s="2"/>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4">
      <c r="A638" s="28"/>
      <c r="B638" s="1"/>
      <c r="C638" s="1"/>
      <c r="D638" s="110"/>
      <c r="E638" s="1"/>
      <c r="F638" s="1"/>
      <c r="G638" s="1"/>
      <c r="H638" s="2"/>
      <c r="I638" s="2"/>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4">
      <c r="A639" s="28"/>
      <c r="B639" s="1"/>
      <c r="C639" s="1"/>
      <c r="D639" s="110"/>
      <c r="E639" s="1"/>
      <c r="F639" s="1"/>
      <c r="G639" s="1"/>
      <c r="H639" s="2"/>
      <c r="I639" s="2"/>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4">
      <c r="A640" s="28"/>
      <c r="B640" s="1"/>
      <c r="C640" s="1"/>
      <c r="D640" s="110"/>
      <c r="E640" s="1"/>
      <c r="F640" s="1"/>
      <c r="G640" s="1"/>
      <c r="H640" s="2"/>
      <c r="I640" s="2"/>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4">
      <c r="A641" s="28"/>
      <c r="B641" s="1"/>
      <c r="C641" s="1"/>
      <c r="D641" s="110"/>
      <c r="E641" s="1"/>
      <c r="F641" s="1"/>
      <c r="G641" s="1"/>
      <c r="H641" s="2"/>
      <c r="I641" s="2"/>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4">
      <c r="A642" s="28"/>
      <c r="B642" s="1"/>
      <c r="C642" s="1"/>
      <c r="D642" s="110"/>
      <c r="E642" s="1"/>
      <c r="F642" s="1"/>
      <c r="G642" s="1"/>
      <c r="H642" s="2"/>
      <c r="I642" s="2"/>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4">
      <c r="A643" s="28"/>
      <c r="B643" s="1"/>
      <c r="C643" s="1"/>
      <c r="D643" s="110"/>
      <c r="E643" s="1"/>
      <c r="F643" s="1"/>
      <c r="G643" s="1"/>
      <c r="H643" s="2"/>
      <c r="I643" s="2"/>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4">
      <c r="A644" s="28"/>
      <c r="B644" s="1"/>
      <c r="C644" s="1"/>
      <c r="D644" s="110"/>
      <c r="E644" s="1"/>
      <c r="F644" s="1"/>
      <c r="G644" s="1"/>
      <c r="H644" s="2"/>
      <c r="I644" s="2"/>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4">
      <c r="A645" s="28"/>
      <c r="B645" s="1"/>
      <c r="C645" s="1"/>
      <c r="D645" s="110"/>
      <c r="E645" s="1"/>
      <c r="F645" s="1"/>
      <c r="G645" s="1"/>
      <c r="H645" s="2"/>
      <c r="I645" s="2"/>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4">
      <c r="A646" s="28"/>
      <c r="B646" s="1"/>
      <c r="C646" s="1"/>
      <c r="D646" s="110"/>
      <c r="E646" s="1"/>
      <c r="F646" s="1"/>
      <c r="G646" s="1"/>
      <c r="H646" s="2"/>
      <c r="I646" s="2"/>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4">
      <c r="A647" s="28"/>
      <c r="B647" s="1"/>
      <c r="C647" s="1"/>
      <c r="D647" s="110"/>
      <c r="E647" s="1"/>
      <c r="F647" s="1"/>
      <c r="G647" s="1"/>
      <c r="H647" s="2"/>
      <c r="I647" s="2"/>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4">
      <c r="A648" s="28"/>
      <c r="B648" s="1"/>
      <c r="C648" s="1"/>
      <c r="D648" s="110"/>
      <c r="E648" s="1"/>
      <c r="F648" s="1"/>
      <c r="G648" s="1"/>
      <c r="H648" s="2"/>
      <c r="I648" s="2"/>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4">
      <c r="A649" s="28"/>
      <c r="B649" s="1"/>
      <c r="C649" s="1"/>
      <c r="D649" s="110"/>
      <c r="E649" s="1"/>
      <c r="F649" s="1"/>
      <c r="G649" s="1"/>
      <c r="H649" s="2"/>
      <c r="I649" s="2"/>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4">
      <c r="A650" s="28"/>
      <c r="B650" s="1"/>
      <c r="C650" s="1"/>
      <c r="D650" s="110"/>
      <c r="E650" s="1"/>
      <c r="F650" s="1"/>
      <c r="G650" s="1"/>
      <c r="H650" s="2"/>
      <c r="I650" s="2"/>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4">
      <c r="A651" s="28"/>
      <c r="B651" s="1"/>
      <c r="C651" s="1"/>
      <c r="D651" s="110"/>
      <c r="E651" s="1"/>
      <c r="F651" s="1"/>
      <c r="G651" s="1"/>
      <c r="H651" s="2"/>
      <c r="I651" s="2"/>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4">
      <c r="A652" s="28"/>
      <c r="B652" s="1"/>
      <c r="C652" s="1"/>
      <c r="D652" s="110"/>
      <c r="E652" s="1"/>
      <c r="F652" s="1"/>
      <c r="G652" s="1"/>
      <c r="H652" s="2"/>
      <c r="I652" s="2"/>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4">
      <c r="A653" s="28"/>
      <c r="B653" s="1"/>
      <c r="C653" s="1"/>
      <c r="D653" s="110"/>
      <c r="E653" s="1"/>
      <c r="F653" s="1"/>
      <c r="G653" s="1"/>
      <c r="H653" s="2"/>
      <c r="I653" s="2"/>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4">
      <c r="A654" s="28"/>
      <c r="B654" s="1"/>
      <c r="C654" s="1"/>
      <c r="D654" s="110"/>
      <c r="E654" s="1"/>
      <c r="F654" s="1"/>
      <c r="G654" s="1"/>
      <c r="H654" s="2"/>
      <c r="I654" s="2"/>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4">
      <c r="A655" s="28"/>
      <c r="B655" s="1"/>
      <c r="C655" s="1"/>
      <c r="D655" s="110"/>
      <c r="E655" s="1"/>
      <c r="F655" s="1"/>
      <c r="G655" s="1"/>
      <c r="H655" s="2"/>
      <c r="I655" s="2"/>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4">
      <c r="A656" s="28"/>
      <c r="B656" s="1"/>
      <c r="C656" s="1"/>
      <c r="D656" s="110"/>
      <c r="E656" s="1"/>
      <c r="F656" s="1"/>
      <c r="G656" s="1"/>
      <c r="H656" s="2"/>
      <c r="I656" s="2"/>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4">
      <c r="A657" s="28"/>
      <c r="B657" s="1"/>
      <c r="C657" s="1"/>
      <c r="D657" s="110"/>
      <c r="E657" s="1"/>
      <c r="F657" s="1"/>
      <c r="G657" s="1"/>
      <c r="H657" s="2"/>
      <c r="I657" s="2"/>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4">
      <c r="A658" s="28"/>
      <c r="B658" s="1"/>
      <c r="C658" s="1"/>
      <c r="D658" s="110"/>
      <c r="E658" s="1"/>
      <c r="F658" s="1"/>
      <c r="G658" s="1"/>
      <c r="H658" s="2"/>
      <c r="I658" s="2"/>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4">
      <c r="A659" s="28"/>
      <c r="B659" s="1"/>
      <c r="C659" s="1"/>
      <c r="D659" s="110"/>
      <c r="E659" s="1"/>
      <c r="F659" s="1"/>
      <c r="G659" s="1"/>
      <c r="H659" s="2"/>
      <c r="I659" s="2"/>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4">
      <c r="A660" s="28"/>
      <c r="B660" s="1"/>
      <c r="C660" s="1"/>
      <c r="D660" s="110"/>
      <c r="E660" s="1"/>
      <c r="F660" s="1"/>
      <c r="G660" s="1"/>
      <c r="H660" s="2"/>
      <c r="I660" s="2"/>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4">
      <c r="A661" s="28"/>
      <c r="B661" s="1"/>
      <c r="C661" s="1"/>
      <c r="D661" s="110"/>
      <c r="E661" s="1"/>
      <c r="F661" s="1"/>
      <c r="G661" s="1"/>
      <c r="H661" s="2"/>
      <c r="I661" s="2"/>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4">
      <c r="A662" s="28"/>
      <c r="B662" s="1"/>
      <c r="C662" s="1"/>
      <c r="D662" s="110"/>
      <c r="E662" s="1"/>
      <c r="F662" s="1"/>
      <c r="G662" s="1"/>
      <c r="H662" s="2"/>
      <c r="I662" s="2"/>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4">
      <c r="A663" s="28"/>
      <c r="B663" s="1"/>
      <c r="C663" s="1"/>
      <c r="D663" s="110"/>
      <c r="E663" s="1"/>
      <c r="F663" s="1"/>
      <c r="G663" s="1"/>
      <c r="H663" s="2"/>
      <c r="I663" s="2"/>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4">
      <c r="A664" s="28"/>
      <c r="B664" s="1"/>
      <c r="C664" s="1"/>
      <c r="D664" s="110"/>
      <c r="E664" s="1"/>
      <c r="F664" s="1"/>
      <c r="G664" s="1"/>
      <c r="H664" s="2"/>
      <c r="I664" s="2"/>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4">
      <c r="A665" s="28"/>
      <c r="B665" s="1"/>
      <c r="C665" s="1"/>
      <c r="D665" s="110"/>
      <c r="E665" s="1"/>
      <c r="F665" s="1"/>
      <c r="G665" s="1"/>
      <c r="H665" s="2"/>
      <c r="I665" s="2"/>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4">
      <c r="A666" s="28"/>
      <c r="B666" s="1"/>
      <c r="C666" s="1"/>
      <c r="D666" s="110"/>
      <c r="E666" s="1"/>
      <c r="F666" s="1"/>
      <c r="G666" s="1"/>
      <c r="H666" s="2"/>
      <c r="I666" s="2"/>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4">
      <c r="A667" s="28"/>
      <c r="B667" s="1"/>
      <c r="C667" s="1"/>
      <c r="D667" s="110"/>
      <c r="E667" s="1"/>
      <c r="F667" s="1"/>
      <c r="G667" s="1"/>
      <c r="H667" s="2"/>
      <c r="I667" s="2"/>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4">
      <c r="A668" s="28"/>
      <c r="B668" s="1"/>
      <c r="C668" s="1"/>
      <c r="D668" s="110"/>
      <c r="E668" s="1"/>
      <c r="F668" s="1"/>
      <c r="G668" s="1"/>
      <c r="H668" s="2"/>
      <c r="I668" s="2"/>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4">
      <c r="A669" s="28"/>
      <c r="B669" s="1"/>
      <c r="C669" s="1"/>
      <c r="D669" s="110"/>
      <c r="E669" s="1"/>
      <c r="F669" s="1"/>
      <c r="G669" s="1"/>
      <c r="H669" s="2"/>
      <c r="I669" s="2"/>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4">
      <c r="A670" s="28"/>
      <c r="B670" s="1"/>
      <c r="C670" s="1"/>
      <c r="D670" s="110"/>
      <c r="E670" s="1"/>
      <c r="F670" s="1"/>
      <c r="G670" s="1"/>
      <c r="H670" s="2"/>
      <c r="I670" s="2"/>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4">
      <c r="A671" s="28"/>
      <c r="B671" s="1"/>
      <c r="C671" s="1"/>
      <c r="D671" s="110"/>
      <c r="E671" s="1"/>
      <c r="F671" s="1"/>
      <c r="G671" s="1"/>
      <c r="H671" s="2"/>
      <c r="I671" s="2"/>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4">
      <c r="A672" s="28"/>
      <c r="B672" s="1"/>
      <c r="C672" s="1"/>
      <c r="D672" s="110"/>
      <c r="E672" s="1"/>
      <c r="F672" s="1"/>
      <c r="G672" s="1"/>
      <c r="H672" s="2"/>
      <c r="I672" s="2"/>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4">
      <c r="A673" s="28"/>
      <c r="B673" s="1"/>
      <c r="C673" s="1"/>
      <c r="D673" s="110"/>
      <c r="E673" s="1"/>
      <c r="F673" s="1"/>
      <c r="G673" s="1"/>
      <c r="H673" s="2"/>
      <c r="I673" s="2"/>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4">
      <c r="A674" s="28"/>
      <c r="B674" s="1"/>
      <c r="C674" s="1"/>
      <c r="D674" s="110"/>
      <c r="E674" s="1"/>
      <c r="F674" s="1"/>
      <c r="G674" s="1"/>
      <c r="H674" s="2"/>
      <c r="I674" s="2"/>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4">
      <c r="A675" s="28"/>
      <c r="B675" s="1"/>
      <c r="C675" s="1"/>
      <c r="D675" s="110"/>
      <c r="E675" s="1"/>
      <c r="F675" s="1"/>
      <c r="G675" s="1"/>
      <c r="H675" s="2"/>
      <c r="I675" s="2"/>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4">
      <c r="A676" s="28"/>
      <c r="B676" s="1"/>
      <c r="C676" s="1"/>
      <c r="D676" s="110"/>
      <c r="E676" s="1"/>
      <c r="F676" s="1"/>
      <c r="G676" s="1"/>
      <c r="H676" s="2"/>
      <c r="I676" s="2"/>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4">
      <c r="A677" s="28"/>
      <c r="B677" s="1"/>
      <c r="C677" s="1"/>
      <c r="D677" s="110"/>
      <c r="E677" s="1"/>
      <c r="F677" s="1"/>
      <c r="G677" s="1"/>
      <c r="H677" s="2"/>
      <c r="I677" s="2"/>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4">
      <c r="A678" s="28"/>
      <c r="B678" s="1"/>
      <c r="C678" s="1"/>
      <c r="D678" s="110"/>
      <c r="E678" s="1"/>
      <c r="F678" s="1"/>
      <c r="G678" s="1"/>
      <c r="H678" s="2"/>
      <c r="I678" s="2"/>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4">
      <c r="A679" s="28"/>
      <c r="B679" s="1"/>
      <c r="C679" s="1"/>
      <c r="D679" s="110"/>
      <c r="E679" s="1"/>
      <c r="F679" s="1"/>
      <c r="G679" s="1"/>
      <c r="H679" s="2"/>
      <c r="I679" s="2"/>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4">
      <c r="A680" s="28"/>
      <c r="B680" s="1"/>
      <c r="C680" s="1"/>
      <c r="D680" s="110"/>
      <c r="E680" s="1"/>
      <c r="F680" s="1"/>
      <c r="G680" s="1"/>
      <c r="H680" s="2"/>
      <c r="I680" s="2"/>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4">
      <c r="A681" s="28"/>
      <c r="B681" s="1"/>
      <c r="C681" s="1"/>
      <c r="D681" s="110"/>
      <c r="E681" s="1"/>
      <c r="F681" s="1"/>
      <c r="G681" s="1"/>
      <c r="H681" s="2"/>
      <c r="I681" s="2"/>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4">
      <c r="A682" s="28"/>
      <c r="B682" s="1"/>
      <c r="C682" s="1"/>
      <c r="D682" s="110"/>
      <c r="E682" s="1"/>
      <c r="F682" s="1"/>
      <c r="G682" s="1"/>
      <c r="H682" s="2"/>
      <c r="I682" s="2"/>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4">
      <c r="A683" s="28"/>
      <c r="B683" s="1"/>
      <c r="C683" s="1"/>
      <c r="D683" s="110"/>
      <c r="E683" s="1"/>
      <c r="F683" s="1"/>
      <c r="G683" s="1"/>
      <c r="H683" s="2"/>
      <c r="I683" s="2"/>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4">
      <c r="A684" s="28"/>
      <c r="B684" s="1"/>
      <c r="C684" s="1"/>
      <c r="D684" s="110"/>
      <c r="E684" s="1"/>
      <c r="F684" s="1"/>
      <c r="G684" s="1"/>
      <c r="H684" s="2"/>
      <c r="I684" s="2"/>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4">
      <c r="A685" s="28"/>
      <c r="B685" s="1"/>
      <c r="C685" s="1"/>
      <c r="D685" s="110"/>
      <c r="E685" s="1"/>
      <c r="F685" s="1"/>
      <c r="G685" s="1"/>
      <c r="H685" s="2"/>
      <c r="I685" s="2"/>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4">
      <c r="A686" s="28"/>
      <c r="B686" s="1"/>
      <c r="C686" s="1"/>
      <c r="D686" s="110"/>
      <c r="E686" s="1"/>
      <c r="F686" s="1"/>
      <c r="G686" s="1"/>
      <c r="H686" s="2"/>
      <c r="I686" s="2"/>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4">
      <c r="A687" s="28"/>
      <c r="B687" s="1"/>
      <c r="C687" s="1"/>
      <c r="D687" s="110"/>
      <c r="E687" s="1"/>
      <c r="F687" s="1"/>
      <c r="G687" s="1"/>
      <c r="H687" s="2"/>
      <c r="I687" s="2"/>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4">
      <c r="A688" s="28"/>
      <c r="B688" s="1"/>
      <c r="C688" s="1"/>
      <c r="D688" s="110"/>
      <c r="E688" s="1"/>
      <c r="F688" s="1"/>
      <c r="G688" s="1"/>
      <c r="H688" s="2"/>
      <c r="I688" s="2"/>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4">
      <c r="A689" s="28"/>
      <c r="B689" s="1"/>
      <c r="C689" s="1"/>
      <c r="D689" s="110"/>
      <c r="E689" s="1"/>
      <c r="F689" s="1"/>
      <c r="G689" s="1"/>
      <c r="H689" s="2"/>
      <c r="I689" s="2"/>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4">
      <c r="A690" s="28"/>
      <c r="B690" s="1"/>
      <c r="C690" s="1"/>
      <c r="D690" s="110"/>
      <c r="E690" s="1"/>
      <c r="F690" s="1"/>
      <c r="G690" s="1"/>
      <c r="H690" s="2"/>
      <c r="I690" s="2"/>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4">
      <c r="A691" s="28"/>
      <c r="B691" s="1"/>
      <c r="C691" s="1"/>
      <c r="D691" s="110"/>
      <c r="E691" s="1"/>
      <c r="F691" s="1"/>
      <c r="G691" s="1"/>
      <c r="H691" s="2"/>
      <c r="I691" s="2"/>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4">
      <c r="A692" s="28"/>
      <c r="B692" s="1"/>
      <c r="C692" s="1"/>
      <c r="D692" s="110"/>
      <c r="E692" s="1"/>
      <c r="F692" s="1"/>
      <c r="G692" s="1"/>
      <c r="H692" s="2"/>
      <c r="I692" s="2"/>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4">
      <c r="A693" s="28"/>
      <c r="B693" s="1"/>
      <c r="C693" s="1"/>
      <c r="D693" s="110"/>
      <c r="E693" s="1"/>
      <c r="F693" s="1"/>
      <c r="G693" s="1"/>
      <c r="H693" s="2"/>
      <c r="I693" s="2"/>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4">
      <c r="A694" s="28"/>
      <c r="B694" s="1"/>
      <c r="C694" s="1"/>
      <c r="D694" s="110"/>
      <c r="E694" s="1"/>
      <c r="F694" s="1"/>
      <c r="G694" s="1"/>
      <c r="H694" s="2"/>
      <c r="I694" s="2"/>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4">
      <c r="A695" s="28"/>
      <c r="B695" s="1"/>
      <c r="C695" s="1"/>
      <c r="D695" s="110"/>
      <c r="E695" s="1"/>
      <c r="F695" s="1"/>
      <c r="G695" s="1"/>
      <c r="H695" s="2"/>
      <c r="I695" s="2"/>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4">
      <c r="A696" s="28"/>
      <c r="B696" s="1"/>
      <c r="C696" s="1"/>
      <c r="D696" s="110"/>
      <c r="E696" s="1"/>
      <c r="F696" s="1"/>
      <c r="G696" s="1"/>
      <c r="H696" s="2"/>
      <c r="I696" s="2"/>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4">
      <c r="A697" s="28"/>
      <c r="B697" s="1"/>
      <c r="C697" s="1"/>
      <c r="D697" s="110"/>
      <c r="E697" s="1"/>
      <c r="F697" s="1"/>
      <c r="G697" s="1"/>
      <c r="H697" s="2"/>
      <c r="I697" s="2"/>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4">
      <c r="A698" s="28"/>
      <c r="B698" s="1"/>
      <c r="C698" s="1"/>
      <c r="D698" s="110"/>
      <c r="E698" s="1"/>
      <c r="F698" s="1"/>
      <c r="G698" s="1"/>
      <c r="H698" s="2"/>
      <c r="I698" s="2"/>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4">
      <c r="A699" s="28"/>
      <c r="B699" s="1"/>
      <c r="C699" s="1"/>
      <c r="D699" s="110"/>
      <c r="E699" s="1"/>
      <c r="F699" s="1"/>
      <c r="G699" s="1"/>
      <c r="H699" s="2"/>
      <c r="I699" s="2"/>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4">
      <c r="A700" s="28"/>
      <c r="B700" s="1"/>
      <c r="C700" s="1"/>
      <c r="D700" s="110"/>
      <c r="E700" s="1"/>
      <c r="F700" s="1"/>
      <c r="G700" s="1"/>
      <c r="H700" s="2"/>
      <c r="I700" s="2"/>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4">
      <c r="A701" s="28"/>
      <c r="B701" s="1"/>
      <c r="C701" s="1"/>
      <c r="D701" s="110"/>
      <c r="E701" s="1"/>
      <c r="F701" s="1"/>
      <c r="G701" s="1"/>
      <c r="H701" s="2"/>
      <c r="I701" s="2"/>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4">
      <c r="A702" s="28"/>
      <c r="B702" s="1"/>
      <c r="C702" s="1"/>
      <c r="D702" s="110"/>
      <c r="E702" s="1"/>
      <c r="F702" s="1"/>
      <c r="G702" s="1"/>
      <c r="H702" s="2"/>
      <c r="I702" s="2"/>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4">
      <c r="A703" s="28"/>
      <c r="B703" s="1"/>
      <c r="C703" s="1"/>
      <c r="D703" s="110"/>
      <c r="E703" s="1"/>
      <c r="F703" s="1"/>
      <c r="G703" s="1"/>
      <c r="H703" s="2"/>
      <c r="I703" s="2"/>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4">
      <c r="A704" s="28"/>
      <c r="B704" s="1"/>
      <c r="C704" s="1"/>
      <c r="D704" s="110"/>
      <c r="E704" s="1"/>
      <c r="F704" s="1"/>
      <c r="G704" s="1"/>
      <c r="H704" s="2"/>
      <c r="I704" s="2"/>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4">
      <c r="A705" s="28"/>
      <c r="B705" s="1"/>
      <c r="C705" s="1"/>
      <c r="D705" s="110"/>
      <c r="E705" s="1"/>
      <c r="F705" s="1"/>
      <c r="G705" s="1"/>
      <c r="H705" s="2"/>
      <c r="I705" s="2"/>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4">
      <c r="A706" s="28"/>
      <c r="B706" s="1"/>
      <c r="C706" s="1"/>
      <c r="D706" s="110"/>
      <c r="E706" s="1"/>
      <c r="F706" s="1"/>
      <c r="G706" s="1"/>
      <c r="H706" s="2"/>
      <c r="I706" s="2"/>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4">
      <c r="A707" s="28"/>
      <c r="B707" s="1"/>
      <c r="C707" s="1"/>
      <c r="D707" s="110"/>
      <c r="E707" s="1"/>
      <c r="F707" s="1"/>
      <c r="G707" s="1"/>
      <c r="H707" s="2"/>
      <c r="I707" s="2"/>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4">
      <c r="A708" s="28"/>
      <c r="B708" s="1"/>
      <c r="C708" s="1"/>
      <c r="D708" s="110"/>
      <c r="E708" s="1"/>
      <c r="F708" s="1"/>
      <c r="G708" s="1"/>
      <c r="H708" s="2"/>
      <c r="I708" s="2"/>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4">
      <c r="A709" s="28"/>
      <c r="B709" s="1"/>
      <c r="C709" s="1"/>
      <c r="D709" s="110"/>
      <c r="E709" s="1"/>
      <c r="F709" s="1"/>
      <c r="G709" s="1"/>
      <c r="H709" s="2"/>
      <c r="I709" s="2"/>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4">
      <c r="A710" s="28"/>
      <c r="B710" s="1"/>
      <c r="C710" s="1"/>
      <c r="D710" s="110"/>
      <c r="E710" s="1"/>
      <c r="F710" s="1"/>
      <c r="G710" s="1"/>
      <c r="H710" s="2"/>
      <c r="I710" s="2"/>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4">
      <c r="A711" s="28"/>
      <c r="B711" s="1"/>
      <c r="C711" s="1"/>
      <c r="D711" s="110"/>
      <c r="E711" s="1"/>
      <c r="F711" s="1"/>
      <c r="G711" s="1"/>
      <c r="H711" s="2"/>
      <c r="I711" s="2"/>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4">
      <c r="A712" s="28"/>
      <c r="B712" s="1"/>
      <c r="C712" s="1"/>
      <c r="D712" s="110"/>
      <c r="E712" s="1"/>
      <c r="F712" s="1"/>
      <c r="G712" s="1"/>
      <c r="H712" s="2"/>
      <c r="I712" s="2"/>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4">
      <c r="A713" s="28"/>
      <c r="B713" s="1"/>
      <c r="C713" s="1"/>
      <c r="D713" s="110"/>
      <c r="E713" s="1"/>
      <c r="F713" s="1"/>
      <c r="G713" s="1"/>
      <c r="H713" s="2"/>
      <c r="I713" s="2"/>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4">
      <c r="A714" s="28"/>
      <c r="B714" s="1"/>
      <c r="C714" s="1"/>
      <c r="D714" s="110"/>
      <c r="E714" s="1"/>
      <c r="F714" s="1"/>
      <c r="G714" s="1"/>
      <c r="H714" s="2"/>
      <c r="I714" s="2"/>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4">
      <c r="A715" s="28"/>
      <c r="B715" s="1"/>
      <c r="C715" s="1"/>
      <c r="D715" s="110"/>
      <c r="E715" s="1"/>
      <c r="F715" s="1"/>
      <c r="G715" s="1"/>
      <c r="H715" s="2"/>
      <c r="I715" s="2"/>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4">
      <c r="A716" s="28"/>
      <c r="B716" s="1"/>
      <c r="C716" s="1"/>
      <c r="D716" s="110"/>
      <c r="E716" s="1"/>
      <c r="F716" s="1"/>
      <c r="G716" s="1"/>
      <c r="H716" s="2"/>
      <c r="I716" s="2"/>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4">
      <c r="A717" s="28"/>
      <c r="B717" s="1"/>
      <c r="C717" s="1"/>
      <c r="D717" s="110"/>
      <c r="E717" s="1"/>
      <c r="F717" s="1"/>
      <c r="G717" s="1"/>
      <c r="H717" s="2"/>
      <c r="I717" s="2"/>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4">
      <c r="A718" s="28"/>
      <c r="B718" s="1"/>
      <c r="C718" s="1"/>
      <c r="D718" s="110"/>
      <c r="E718" s="1"/>
      <c r="F718" s="1"/>
      <c r="G718" s="1"/>
      <c r="H718" s="2"/>
      <c r="I718" s="2"/>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4">
      <c r="A719" s="28"/>
      <c r="B719" s="1"/>
      <c r="C719" s="1"/>
      <c r="D719" s="110"/>
      <c r="E719" s="1"/>
      <c r="F719" s="1"/>
      <c r="G719" s="1"/>
      <c r="H719" s="2"/>
      <c r="I719" s="2"/>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4">
      <c r="A720" s="28"/>
      <c r="B720" s="1"/>
      <c r="C720" s="1"/>
      <c r="D720" s="110"/>
      <c r="E720" s="1"/>
      <c r="F720" s="1"/>
      <c r="G720" s="1"/>
      <c r="H720" s="2"/>
      <c r="I720" s="2"/>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4">
      <c r="A721" s="28"/>
      <c r="B721" s="1"/>
      <c r="C721" s="1"/>
      <c r="D721" s="110"/>
      <c r="E721" s="1"/>
      <c r="F721" s="1"/>
      <c r="G721" s="1"/>
      <c r="H721" s="2"/>
      <c r="I721" s="2"/>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4">
      <c r="A722" s="28"/>
      <c r="B722" s="1"/>
      <c r="C722" s="1"/>
      <c r="D722" s="110"/>
      <c r="E722" s="1"/>
      <c r="F722" s="1"/>
      <c r="G722" s="1"/>
      <c r="H722" s="2"/>
      <c r="I722" s="2"/>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4">
      <c r="A723" s="28"/>
      <c r="B723" s="1"/>
      <c r="C723" s="1"/>
      <c r="D723" s="110"/>
      <c r="E723" s="1"/>
      <c r="F723" s="1"/>
      <c r="G723" s="1"/>
      <c r="H723" s="2"/>
      <c r="I723" s="2"/>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4">
      <c r="A724" s="28"/>
      <c r="B724" s="1"/>
      <c r="C724" s="1"/>
      <c r="D724" s="110"/>
      <c r="E724" s="1"/>
      <c r="F724" s="1"/>
      <c r="G724" s="1"/>
      <c r="H724" s="2"/>
      <c r="I724" s="2"/>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4">
      <c r="A725" s="28"/>
      <c r="B725" s="1"/>
      <c r="C725" s="1"/>
      <c r="D725" s="110"/>
      <c r="E725" s="1"/>
      <c r="F725" s="1"/>
      <c r="G725" s="1"/>
      <c r="H725" s="2"/>
      <c r="I725" s="2"/>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4">
      <c r="A726" s="28"/>
      <c r="B726" s="1"/>
      <c r="C726" s="1"/>
      <c r="D726" s="110"/>
      <c r="E726" s="1"/>
      <c r="F726" s="1"/>
      <c r="G726" s="1"/>
      <c r="H726" s="2"/>
      <c r="I726" s="2"/>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4">
      <c r="A727" s="28"/>
      <c r="B727" s="1"/>
      <c r="C727" s="1"/>
      <c r="D727" s="110"/>
      <c r="E727" s="1"/>
      <c r="F727" s="1"/>
      <c r="G727" s="1"/>
      <c r="H727" s="2"/>
      <c r="I727" s="2"/>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4">
      <c r="A728" s="28"/>
      <c r="B728" s="1"/>
      <c r="C728" s="1"/>
      <c r="D728" s="110"/>
      <c r="E728" s="1"/>
      <c r="F728" s="1"/>
      <c r="G728" s="1"/>
      <c r="H728" s="2"/>
      <c r="I728" s="2"/>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4">
      <c r="A729" s="28"/>
      <c r="B729" s="1"/>
      <c r="C729" s="1"/>
      <c r="D729" s="110"/>
      <c r="E729" s="1"/>
      <c r="F729" s="1"/>
      <c r="G729" s="1"/>
      <c r="H729" s="2"/>
      <c r="I729" s="2"/>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4">
      <c r="A730" s="28"/>
      <c r="B730" s="1"/>
      <c r="C730" s="1"/>
      <c r="D730" s="110"/>
      <c r="E730" s="1"/>
      <c r="F730" s="1"/>
      <c r="G730" s="1"/>
      <c r="H730" s="2"/>
      <c r="I730" s="2"/>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4">
      <c r="A731" s="28"/>
      <c r="B731" s="1"/>
      <c r="C731" s="1"/>
      <c r="D731" s="110"/>
      <c r="E731" s="1"/>
      <c r="F731" s="1"/>
      <c r="G731" s="1"/>
      <c r="H731" s="2"/>
      <c r="I731" s="2"/>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4">
      <c r="A732" s="28"/>
      <c r="B732" s="1"/>
      <c r="C732" s="1"/>
      <c r="D732" s="110"/>
      <c r="E732" s="1"/>
      <c r="F732" s="1"/>
      <c r="G732" s="1"/>
      <c r="H732" s="2"/>
      <c r="I732" s="2"/>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4">
      <c r="A733" s="28"/>
      <c r="B733" s="1"/>
      <c r="C733" s="1"/>
      <c r="D733" s="110"/>
      <c r="E733" s="1"/>
      <c r="F733" s="1"/>
      <c r="G733" s="1"/>
      <c r="H733" s="2"/>
      <c r="I733" s="2"/>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4">
      <c r="A734" s="28"/>
      <c r="B734" s="1"/>
      <c r="C734" s="1"/>
      <c r="D734" s="110"/>
      <c r="E734" s="1"/>
      <c r="F734" s="1"/>
      <c r="G734" s="1"/>
      <c r="H734" s="2"/>
      <c r="I734" s="2"/>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4">
      <c r="A735" s="28"/>
      <c r="B735" s="1"/>
      <c r="C735" s="1"/>
      <c r="D735" s="110"/>
      <c r="E735" s="1"/>
      <c r="F735" s="1"/>
      <c r="G735" s="1"/>
      <c r="H735" s="2"/>
      <c r="I735" s="2"/>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4">
      <c r="A736" s="28"/>
      <c r="B736" s="1"/>
      <c r="C736" s="1"/>
      <c r="D736" s="110"/>
      <c r="E736" s="1"/>
      <c r="F736" s="1"/>
      <c r="G736" s="1"/>
      <c r="H736" s="2"/>
      <c r="I736" s="2"/>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4">
      <c r="A737" s="28"/>
      <c r="B737" s="1"/>
      <c r="C737" s="1"/>
      <c r="D737" s="110"/>
      <c r="E737" s="1"/>
      <c r="F737" s="1"/>
      <c r="G737" s="1"/>
      <c r="H737" s="2"/>
      <c r="I737" s="2"/>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4">
      <c r="A738" s="28"/>
      <c r="B738" s="1"/>
      <c r="C738" s="1"/>
      <c r="D738" s="110"/>
      <c r="E738" s="1"/>
      <c r="F738" s="1"/>
      <c r="G738" s="1"/>
      <c r="H738" s="2"/>
      <c r="I738" s="2"/>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4">
      <c r="A739" s="28"/>
      <c r="B739" s="1"/>
      <c r="C739" s="1"/>
      <c r="D739" s="110"/>
      <c r="E739" s="1"/>
      <c r="F739" s="1"/>
      <c r="G739" s="1"/>
      <c r="H739" s="2"/>
      <c r="I739" s="2"/>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4">
      <c r="A740" s="28"/>
      <c r="B740" s="1"/>
      <c r="C740" s="1"/>
      <c r="D740" s="110"/>
      <c r="E740" s="1"/>
      <c r="F740" s="1"/>
      <c r="G740" s="1"/>
      <c r="H740" s="2"/>
      <c r="I740" s="2"/>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4">
      <c r="A741" s="28"/>
      <c r="B741" s="1"/>
      <c r="C741" s="1"/>
      <c r="D741" s="110"/>
      <c r="E741" s="1"/>
      <c r="F741" s="1"/>
      <c r="G741" s="1"/>
      <c r="H741" s="2"/>
      <c r="I741" s="2"/>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4">
      <c r="A742" s="28"/>
      <c r="B742" s="1"/>
      <c r="C742" s="1"/>
      <c r="D742" s="110"/>
      <c r="E742" s="1"/>
      <c r="F742" s="1"/>
      <c r="G742" s="1"/>
      <c r="H742" s="2"/>
      <c r="I742" s="2"/>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4">
      <c r="A743" s="28"/>
      <c r="B743" s="1"/>
      <c r="C743" s="1"/>
      <c r="D743" s="110"/>
      <c r="E743" s="1"/>
      <c r="F743" s="1"/>
      <c r="G743" s="1"/>
      <c r="H743" s="2"/>
      <c r="I743" s="2"/>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4">
      <c r="A744" s="28"/>
      <c r="B744" s="1"/>
      <c r="C744" s="1"/>
      <c r="D744" s="110"/>
      <c r="E744" s="1"/>
      <c r="F744" s="1"/>
      <c r="G744" s="1"/>
      <c r="H744" s="2"/>
      <c r="I744" s="2"/>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4">
      <c r="A745" s="28"/>
      <c r="B745" s="1"/>
      <c r="C745" s="1"/>
      <c r="D745" s="110"/>
      <c r="E745" s="1"/>
      <c r="F745" s="1"/>
      <c r="G745" s="1"/>
      <c r="H745" s="2"/>
      <c r="I745" s="2"/>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4">
      <c r="A746" s="28"/>
      <c r="B746" s="1"/>
      <c r="C746" s="1"/>
      <c r="D746" s="110"/>
      <c r="E746" s="1"/>
      <c r="F746" s="1"/>
      <c r="G746" s="1"/>
      <c r="H746" s="2"/>
      <c r="I746" s="2"/>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4">
      <c r="A747" s="28"/>
      <c r="B747" s="1"/>
      <c r="C747" s="1"/>
      <c r="D747" s="110"/>
      <c r="E747" s="1"/>
      <c r="F747" s="1"/>
      <c r="G747" s="1"/>
      <c r="H747" s="2"/>
      <c r="I747" s="2"/>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4">
      <c r="A748" s="28"/>
      <c r="B748" s="1"/>
      <c r="C748" s="1"/>
      <c r="D748" s="110"/>
      <c r="E748" s="1"/>
      <c r="F748" s="1"/>
      <c r="G748" s="1"/>
      <c r="H748" s="2"/>
      <c r="I748" s="2"/>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4">
      <c r="A749" s="28"/>
      <c r="B749" s="1"/>
      <c r="C749" s="1"/>
      <c r="D749" s="110"/>
      <c r="E749" s="1"/>
      <c r="F749" s="1"/>
      <c r="G749" s="1"/>
      <c r="H749" s="2"/>
      <c r="I749" s="2"/>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4">
      <c r="A750" s="28"/>
      <c r="B750" s="1"/>
      <c r="C750" s="1"/>
      <c r="D750" s="110"/>
      <c r="E750" s="1"/>
      <c r="F750" s="1"/>
      <c r="G750" s="1"/>
      <c r="H750" s="2"/>
      <c r="I750" s="2"/>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4">
      <c r="A751" s="28"/>
      <c r="B751" s="1"/>
      <c r="C751" s="1"/>
      <c r="D751" s="110"/>
      <c r="E751" s="1"/>
      <c r="F751" s="1"/>
      <c r="G751" s="1"/>
      <c r="H751" s="2"/>
      <c r="I751" s="2"/>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4">
      <c r="A752" s="28"/>
      <c r="B752" s="1"/>
      <c r="C752" s="1"/>
      <c r="D752" s="110"/>
      <c r="E752" s="1"/>
      <c r="F752" s="1"/>
      <c r="G752" s="1"/>
      <c r="H752" s="2"/>
      <c r="I752" s="2"/>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4">
      <c r="A753" s="28"/>
      <c r="B753" s="1"/>
      <c r="C753" s="1"/>
      <c r="D753" s="110"/>
      <c r="E753" s="1"/>
      <c r="F753" s="1"/>
      <c r="G753" s="1"/>
      <c r="H753" s="2"/>
      <c r="I753" s="2"/>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4">
      <c r="A754" s="28"/>
      <c r="B754" s="1"/>
      <c r="C754" s="1"/>
      <c r="D754" s="110"/>
      <c r="E754" s="1"/>
      <c r="F754" s="1"/>
      <c r="G754" s="1"/>
      <c r="H754" s="2"/>
      <c r="I754" s="2"/>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4">
      <c r="A755" s="28"/>
      <c r="B755" s="1"/>
      <c r="C755" s="1"/>
      <c r="D755" s="110"/>
      <c r="E755" s="1"/>
      <c r="F755" s="1"/>
      <c r="G755" s="1"/>
      <c r="H755" s="2"/>
      <c r="I755" s="2"/>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4">
      <c r="A756" s="28"/>
      <c r="B756" s="1"/>
      <c r="C756" s="1"/>
      <c r="D756" s="110"/>
      <c r="E756" s="1"/>
      <c r="F756" s="1"/>
      <c r="G756" s="1"/>
      <c r="H756" s="2"/>
      <c r="I756" s="2"/>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4">
      <c r="A757" s="28"/>
      <c r="B757" s="1"/>
      <c r="C757" s="1"/>
      <c r="D757" s="110"/>
      <c r="E757" s="1"/>
      <c r="F757" s="1"/>
      <c r="G757" s="1"/>
      <c r="H757" s="2"/>
      <c r="I757" s="2"/>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4">
      <c r="A758" s="28"/>
      <c r="B758" s="1"/>
      <c r="C758" s="1"/>
      <c r="D758" s="110"/>
      <c r="E758" s="1"/>
      <c r="F758" s="1"/>
      <c r="G758" s="1"/>
      <c r="H758" s="2"/>
      <c r="I758" s="2"/>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4">
      <c r="A759" s="28"/>
      <c r="B759" s="1"/>
      <c r="C759" s="1"/>
      <c r="D759" s="110"/>
      <c r="E759" s="1"/>
      <c r="F759" s="1"/>
      <c r="G759" s="1"/>
      <c r="H759" s="2"/>
      <c r="I759" s="2"/>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4">
      <c r="A760" s="28"/>
      <c r="B760" s="1"/>
      <c r="C760" s="1"/>
      <c r="D760" s="110"/>
      <c r="E760" s="1"/>
      <c r="F760" s="1"/>
      <c r="G760" s="1"/>
      <c r="H760" s="2"/>
      <c r="I760" s="2"/>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4">
      <c r="A761" s="28"/>
      <c r="B761" s="1"/>
      <c r="C761" s="1"/>
      <c r="D761" s="110"/>
      <c r="E761" s="1"/>
      <c r="F761" s="1"/>
      <c r="G761" s="1"/>
      <c r="H761" s="2"/>
      <c r="I761" s="2"/>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4">
      <c r="A762" s="28"/>
      <c r="B762" s="1"/>
      <c r="C762" s="1"/>
      <c r="D762" s="110"/>
      <c r="E762" s="1"/>
      <c r="F762" s="1"/>
      <c r="G762" s="1"/>
      <c r="H762" s="2"/>
      <c r="I762" s="2"/>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4">
      <c r="A763" s="28"/>
      <c r="B763" s="1"/>
      <c r="C763" s="1"/>
      <c r="D763" s="110"/>
      <c r="E763" s="1"/>
      <c r="F763" s="1"/>
      <c r="G763" s="1"/>
      <c r="H763" s="2"/>
      <c r="I763" s="2"/>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4">
      <c r="A764" s="28"/>
      <c r="B764" s="1"/>
      <c r="C764" s="1"/>
      <c r="D764" s="110"/>
      <c r="E764" s="1"/>
      <c r="F764" s="1"/>
      <c r="G764" s="1"/>
      <c r="H764" s="2"/>
      <c r="I764" s="2"/>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4">
      <c r="A765" s="28"/>
      <c r="B765" s="1"/>
      <c r="C765" s="1"/>
      <c r="D765" s="110"/>
      <c r="E765" s="1"/>
      <c r="F765" s="1"/>
      <c r="G765" s="1"/>
      <c r="H765" s="2"/>
      <c r="I765" s="2"/>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4">
      <c r="A766" s="28"/>
      <c r="B766" s="1"/>
      <c r="C766" s="1"/>
      <c r="D766" s="110"/>
      <c r="E766" s="1"/>
      <c r="F766" s="1"/>
      <c r="G766" s="1"/>
      <c r="H766" s="2"/>
      <c r="I766" s="2"/>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4">
      <c r="A767" s="28"/>
      <c r="B767" s="1"/>
      <c r="C767" s="1"/>
      <c r="D767" s="110"/>
      <c r="E767" s="1"/>
      <c r="F767" s="1"/>
      <c r="G767" s="1"/>
      <c r="H767" s="2"/>
      <c r="I767" s="2"/>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4">
      <c r="A768" s="28"/>
      <c r="B768" s="1"/>
      <c r="C768" s="1"/>
      <c r="D768" s="110"/>
      <c r="E768" s="1"/>
      <c r="F768" s="1"/>
      <c r="G768" s="1"/>
      <c r="H768" s="2"/>
      <c r="I768" s="2"/>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4">
      <c r="A769" s="28"/>
      <c r="B769" s="1"/>
      <c r="C769" s="1"/>
      <c r="D769" s="110"/>
      <c r="E769" s="1"/>
      <c r="F769" s="1"/>
      <c r="G769" s="1"/>
      <c r="H769" s="2"/>
      <c r="I769" s="2"/>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4">
      <c r="A770" s="28"/>
      <c r="B770" s="1"/>
      <c r="C770" s="1"/>
      <c r="D770" s="110"/>
      <c r="E770" s="1"/>
      <c r="F770" s="1"/>
      <c r="G770" s="1"/>
      <c r="H770" s="2"/>
      <c r="I770" s="2"/>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4">
      <c r="A771" s="28"/>
      <c r="B771" s="1"/>
      <c r="C771" s="1"/>
      <c r="D771" s="110"/>
      <c r="E771" s="1"/>
      <c r="F771" s="1"/>
      <c r="G771" s="1"/>
      <c r="H771" s="2"/>
      <c r="I771" s="2"/>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4">
      <c r="A772" s="28"/>
      <c r="B772" s="1"/>
      <c r="C772" s="1"/>
      <c r="D772" s="110"/>
      <c r="E772" s="1"/>
      <c r="F772" s="1"/>
      <c r="G772" s="1"/>
      <c r="H772" s="2"/>
      <c r="I772" s="2"/>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4">
      <c r="A773" s="28"/>
      <c r="B773" s="1"/>
      <c r="C773" s="1"/>
      <c r="D773" s="110"/>
      <c r="E773" s="1"/>
      <c r="F773" s="1"/>
      <c r="G773" s="1"/>
      <c r="H773" s="2"/>
      <c r="I773" s="2"/>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4">
      <c r="A774" s="28"/>
      <c r="B774" s="1"/>
      <c r="C774" s="1"/>
      <c r="D774" s="110"/>
      <c r="E774" s="1"/>
      <c r="F774" s="1"/>
      <c r="G774" s="1"/>
      <c r="H774" s="2"/>
      <c r="I774" s="2"/>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4">
      <c r="A775" s="28"/>
      <c r="B775" s="1"/>
      <c r="C775" s="1"/>
      <c r="D775" s="110"/>
      <c r="E775" s="1"/>
      <c r="F775" s="1"/>
      <c r="G775" s="1"/>
      <c r="H775" s="2"/>
      <c r="I775" s="2"/>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4">
      <c r="A776" s="28"/>
      <c r="B776" s="1"/>
      <c r="C776" s="1"/>
      <c r="D776" s="110"/>
      <c r="E776" s="1"/>
      <c r="F776" s="1"/>
      <c r="G776" s="1"/>
      <c r="H776" s="2"/>
      <c r="I776" s="2"/>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4">
      <c r="A777" s="28"/>
      <c r="B777" s="1"/>
      <c r="C777" s="1"/>
      <c r="D777" s="110"/>
      <c r="E777" s="1"/>
      <c r="F777" s="1"/>
      <c r="G777" s="1"/>
      <c r="H777" s="2"/>
      <c r="I777" s="2"/>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4">
      <c r="A778" s="28"/>
      <c r="B778" s="1"/>
      <c r="C778" s="1"/>
      <c r="D778" s="110"/>
      <c r="E778" s="1"/>
      <c r="F778" s="1"/>
      <c r="G778" s="1"/>
      <c r="H778" s="2"/>
      <c r="I778" s="2"/>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4">
      <c r="A779" s="28"/>
      <c r="B779" s="1"/>
      <c r="C779" s="1"/>
      <c r="D779" s="110"/>
      <c r="E779" s="1"/>
      <c r="F779" s="1"/>
      <c r="G779" s="1"/>
      <c r="H779" s="2"/>
      <c r="I779" s="2"/>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4">
      <c r="A780" s="28"/>
      <c r="B780" s="1"/>
      <c r="C780" s="1"/>
      <c r="D780" s="110"/>
      <c r="E780" s="1"/>
      <c r="F780" s="1"/>
      <c r="G780" s="1"/>
      <c r="H780" s="2"/>
      <c r="I780" s="2"/>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4">
      <c r="A781" s="28"/>
      <c r="B781" s="1"/>
      <c r="C781" s="1"/>
      <c r="D781" s="110"/>
      <c r="E781" s="1"/>
      <c r="F781" s="1"/>
      <c r="G781" s="1"/>
      <c r="H781" s="2"/>
      <c r="I781" s="2"/>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4">
      <c r="A782" s="28"/>
      <c r="B782" s="1"/>
      <c r="C782" s="1"/>
      <c r="D782" s="110"/>
      <c r="E782" s="1"/>
      <c r="F782" s="1"/>
      <c r="G782" s="1"/>
      <c r="H782" s="2"/>
      <c r="I782" s="2"/>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4">
      <c r="A783" s="28"/>
      <c r="B783" s="1"/>
      <c r="C783" s="1"/>
      <c r="D783" s="110"/>
      <c r="E783" s="1"/>
      <c r="F783" s="1"/>
      <c r="G783" s="1"/>
      <c r="H783" s="2"/>
      <c r="I783" s="2"/>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4">
      <c r="A784" s="28"/>
      <c r="B784" s="1"/>
      <c r="C784" s="1"/>
      <c r="D784" s="110"/>
      <c r="E784" s="1"/>
      <c r="F784" s="1"/>
      <c r="G784" s="1"/>
      <c r="H784" s="2"/>
      <c r="I784" s="2"/>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4">
      <c r="A785" s="28"/>
      <c r="B785" s="1"/>
      <c r="C785" s="1"/>
      <c r="D785" s="110"/>
      <c r="E785" s="1"/>
      <c r="F785" s="1"/>
      <c r="G785" s="1"/>
      <c r="H785" s="2"/>
      <c r="I785" s="2"/>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4">
      <c r="A786" s="28"/>
      <c r="B786" s="1"/>
      <c r="C786" s="1"/>
      <c r="D786" s="110"/>
      <c r="E786" s="1"/>
      <c r="F786" s="1"/>
      <c r="G786" s="1"/>
      <c r="H786" s="2"/>
      <c r="I786" s="2"/>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4">
      <c r="A787" s="28"/>
      <c r="B787" s="1"/>
      <c r="C787" s="1"/>
      <c r="D787" s="110"/>
      <c r="E787" s="1"/>
      <c r="F787" s="1"/>
      <c r="G787" s="1"/>
      <c r="H787" s="2"/>
      <c r="I787" s="2"/>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4">
      <c r="A788" s="28"/>
      <c r="B788" s="1"/>
      <c r="C788" s="1"/>
      <c r="D788" s="110"/>
      <c r="E788" s="1"/>
      <c r="F788" s="1"/>
      <c r="G788" s="1"/>
      <c r="H788" s="2"/>
      <c r="I788" s="2"/>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4">
      <c r="A789" s="28"/>
      <c r="B789" s="1"/>
      <c r="C789" s="1"/>
      <c r="D789" s="110"/>
      <c r="E789" s="1"/>
      <c r="F789" s="1"/>
      <c r="G789" s="1"/>
      <c r="H789" s="2"/>
      <c r="I789" s="2"/>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4">
      <c r="A790" s="28"/>
      <c r="B790" s="1"/>
      <c r="C790" s="1"/>
      <c r="D790" s="110"/>
      <c r="E790" s="1"/>
      <c r="F790" s="1"/>
      <c r="G790" s="1"/>
      <c r="H790" s="2"/>
      <c r="I790" s="2"/>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4">
      <c r="A791" s="28"/>
      <c r="B791" s="1"/>
      <c r="C791" s="1"/>
      <c r="D791" s="110"/>
      <c r="E791" s="1"/>
      <c r="F791" s="1"/>
      <c r="G791" s="1"/>
      <c r="H791" s="2"/>
      <c r="I791" s="2"/>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4">
      <c r="A792" s="28"/>
      <c r="B792" s="1"/>
      <c r="C792" s="1"/>
      <c r="D792" s="110"/>
      <c r="E792" s="1"/>
      <c r="F792" s="1"/>
      <c r="G792" s="1"/>
      <c r="H792" s="2"/>
      <c r="I792" s="2"/>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4">
      <c r="A793" s="28"/>
      <c r="B793" s="1"/>
      <c r="C793" s="1"/>
      <c r="D793" s="110"/>
      <c r="E793" s="1"/>
      <c r="F793" s="1"/>
      <c r="G793" s="1"/>
      <c r="H793" s="2"/>
      <c r="I793" s="2"/>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4">
      <c r="A794" s="28"/>
      <c r="B794" s="1"/>
      <c r="C794" s="1"/>
      <c r="D794" s="110"/>
      <c r="E794" s="1"/>
      <c r="F794" s="1"/>
      <c r="G794" s="1"/>
      <c r="H794" s="2"/>
      <c r="I794" s="2"/>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4">
      <c r="A795" s="28"/>
      <c r="B795" s="1"/>
      <c r="C795" s="1"/>
      <c r="D795" s="110"/>
      <c r="E795" s="1"/>
      <c r="F795" s="1"/>
      <c r="G795" s="1"/>
      <c r="H795" s="2"/>
      <c r="I795" s="2"/>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4">
      <c r="A796" s="28"/>
      <c r="B796" s="1"/>
      <c r="C796" s="1"/>
      <c r="D796" s="110"/>
      <c r="E796" s="1"/>
      <c r="F796" s="1"/>
      <c r="G796" s="1"/>
      <c r="H796" s="2"/>
      <c r="I796" s="2"/>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4">
      <c r="A797" s="28"/>
      <c r="B797" s="1"/>
      <c r="C797" s="1"/>
      <c r="D797" s="110"/>
      <c r="E797" s="1"/>
      <c r="F797" s="1"/>
      <c r="G797" s="1"/>
      <c r="H797" s="2"/>
      <c r="I797" s="2"/>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4">
      <c r="A798" s="28"/>
      <c r="B798" s="1"/>
      <c r="C798" s="1"/>
      <c r="D798" s="110"/>
      <c r="E798" s="1"/>
      <c r="F798" s="1"/>
      <c r="G798" s="1"/>
      <c r="H798" s="2"/>
      <c r="I798" s="2"/>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4">
      <c r="A799" s="28"/>
      <c r="B799" s="1"/>
      <c r="C799" s="1"/>
      <c r="D799" s="110"/>
      <c r="E799" s="1"/>
      <c r="F799" s="1"/>
      <c r="G799" s="1"/>
      <c r="H799" s="2"/>
      <c r="I799" s="2"/>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4">
      <c r="A800" s="28"/>
      <c r="B800" s="1"/>
      <c r="C800" s="1"/>
      <c r="D800" s="110"/>
      <c r="E800" s="1"/>
      <c r="F800" s="1"/>
      <c r="G800" s="1"/>
      <c r="H800" s="2"/>
      <c r="I800" s="2"/>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4">
      <c r="A801" s="28"/>
      <c r="B801" s="1"/>
      <c r="C801" s="1"/>
      <c r="D801" s="110"/>
      <c r="E801" s="1"/>
      <c r="F801" s="1"/>
      <c r="G801" s="1"/>
      <c r="H801" s="2"/>
      <c r="I801" s="2"/>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4">
      <c r="A802" s="28"/>
      <c r="B802" s="1"/>
      <c r="C802" s="1"/>
      <c r="D802" s="110"/>
      <c r="E802" s="1"/>
      <c r="F802" s="1"/>
      <c r="G802" s="1"/>
      <c r="H802" s="2"/>
      <c r="I802" s="2"/>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4">
      <c r="A803" s="28"/>
      <c r="B803" s="1"/>
      <c r="C803" s="1"/>
      <c r="D803" s="110"/>
      <c r="E803" s="1"/>
      <c r="F803" s="1"/>
      <c r="G803" s="1"/>
      <c r="H803" s="2"/>
      <c r="I803" s="2"/>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4">
      <c r="A804" s="28"/>
      <c r="B804" s="1"/>
      <c r="C804" s="1"/>
      <c r="D804" s="110"/>
      <c r="E804" s="1"/>
      <c r="F804" s="1"/>
      <c r="G804" s="1"/>
      <c r="H804" s="2"/>
      <c r="I804" s="2"/>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4">
      <c r="A805" s="28"/>
      <c r="B805" s="1"/>
      <c r="C805" s="1"/>
      <c r="D805" s="110"/>
      <c r="E805" s="1"/>
      <c r="F805" s="1"/>
      <c r="G805" s="1"/>
      <c r="H805" s="2"/>
      <c r="I805" s="2"/>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4">
      <c r="A806" s="28"/>
      <c r="B806" s="1"/>
      <c r="C806" s="1"/>
      <c r="D806" s="110"/>
      <c r="E806" s="1"/>
      <c r="F806" s="1"/>
      <c r="G806" s="1"/>
      <c r="H806" s="2"/>
      <c r="I806" s="2"/>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4">
      <c r="A807" s="28"/>
      <c r="B807" s="1"/>
      <c r="C807" s="1"/>
      <c r="D807" s="110"/>
      <c r="E807" s="1"/>
      <c r="F807" s="1"/>
      <c r="G807" s="1"/>
      <c r="H807" s="2"/>
      <c r="I807" s="2"/>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4">
      <c r="A808" s="28"/>
      <c r="B808" s="1"/>
      <c r="C808" s="1"/>
      <c r="D808" s="110"/>
      <c r="E808" s="1"/>
      <c r="F808" s="1"/>
      <c r="G808" s="1"/>
      <c r="H808" s="2"/>
      <c r="I808" s="2"/>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4">
      <c r="A809" s="28"/>
      <c r="B809" s="1"/>
      <c r="C809" s="1"/>
      <c r="D809" s="110"/>
      <c r="E809" s="1"/>
      <c r="F809" s="1"/>
      <c r="G809" s="1"/>
      <c r="H809" s="2"/>
      <c r="I809" s="2"/>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4">
      <c r="A810" s="28"/>
      <c r="B810" s="1"/>
      <c r="C810" s="1"/>
      <c r="D810" s="110"/>
      <c r="E810" s="1"/>
      <c r="F810" s="1"/>
      <c r="G810" s="1"/>
      <c r="H810" s="2"/>
      <c r="I810" s="2"/>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4">
      <c r="A811" s="28"/>
      <c r="B811" s="1"/>
      <c r="C811" s="1"/>
      <c r="D811" s="110"/>
      <c r="E811" s="1"/>
      <c r="F811" s="1"/>
      <c r="G811" s="1"/>
      <c r="H811" s="2"/>
      <c r="I811" s="2"/>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4">
      <c r="A812" s="28"/>
      <c r="B812" s="1"/>
      <c r="C812" s="1"/>
      <c r="D812" s="110"/>
      <c r="E812" s="1"/>
      <c r="F812" s="1"/>
      <c r="G812" s="1"/>
      <c r="H812" s="2"/>
      <c r="I812" s="2"/>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4">
      <c r="A813" s="28"/>
      <c r="B813" s="1"/>
      <c r="C813" s="1"/>
      <c r="D813" s="110"/>
      <c r="E813" s="1"/>
      <c r="F813" s="1"/>
      <c r="G813" s="1"/>
      <c r="H813" s="2"/>
      <c r="I813" s="2"/>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4">
      <c r="A814" s="28"/>
      <c r="B814" s="1"/>
      <c r="C814" s="1"/>
      <c r="D814" s="110"/>
      <c r="E814" s="1"/>
      <c r="F814" s="1"/>
      <c r="G814" s="1"/>
      <c r="H814" s="2"/>
      <c r="I814" s="2"/>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4">
      <c r="A815" s="28"/>
      <c r="B815" s="1"/>
      <c r="C815" s="1"/>
      <c r="D815" s="110"/>
      <c r="E815" s="1"/>
      <c r="F815" s="1"/>
      <c r="G815" s="1"/>
      <c r="H815" s="2"/>
      <c r="I815" s="2"/>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4">
      <c r="A816" s="28"/>
      <c r="B816" s="1"/>
      <c r="C816" s="1"/>
      <c r="D816" s="110"/>
      <c r="E816" s="1"/>
      <c r="F816" s="1"/>
      <c r="G816" s="1"/>
      <c r="H816" s="2"/>
      <c r="I816" s="2"/>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4">
      <c r="A817" s="28"/>
      <c r="B817" s="1"/>
      <c r="C817" s="1"/>
      <c r="D817" s="110"/>
      <c r="E817" s="1"/>
      <c r="F817" s="1"/>
      <c r="G817" s="1"/>
      <c r="H817" s="2"/>
      <c r="I817" s="2"/>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4">
      <c r="A818" s="28"/>
      <c r="B818" s="1"/>
      <c r="C818" s="1"/>
      <c r="D818" s="110"/>
      <c r="E818" s="1"/>
      <c r="F818" s="1"/>
      <c r="G818" s="1"/>
      <c r="H818" s="2"/>
      <c r="I818" s="2"/>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4">
      <c r="A819" s="28"/>
      <c r="B819" s="1"/>
      <c r="C819" s="1"/>
      <c r="D819" s="110"/>
      <c r="E819" s="1"/>
      <c r="F819" s="1"/>
      <c r="G819" s="1"/>
      <c r="H819" s="2"/>
      <c r="I819" s="2"/>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4">
      <c r="A820" s="28"/>
      <c r="B820" s="1"/>
      <c r="C820" s="1"/>
      <c r="D820" s="110"/>
      <c r="E820" s="1"/>
      <c r="F820" s="1"/>
      <c r="G820" s="1"/>
      <c r="H820" s="2"/>
      <c r="I820" s="2"/>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4">
      <c r="A821" s="28"/>
      <c r="B821" s="1"/>
      <c r="C821" s="1"/>
      <c r="D821" s="110"/>
      <c r="E821" s="1"/>
      <c r="F821" s="1"/>
      <c r="G821" s="1"/>
      <c r="H821" s="2"/>
      <c r="I821" s="2"/>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4">
      <c r="A822" s="28"/>
      <c r="B822" s="1"/>
      <c r="C822" s="1"/>
      <c r="D822" s="110"/>
      <c r="E822" s="1"/>
      <c r="F822" s="1"/>
      <c r="G822" s="1"/>
      <c r="H822" s="2"/>
      <c r="I822" s="2"/>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4">
      <c r="A823" s="28"/>
      <c r="B823" s="1"/>
      <c r="C823" s="1"/>
      <c r="D823" s="110"/>
      <c r="E823" s="1"/>
      <c r="F823" s="1"/>
      <c r="G823" s="1"/>
      <c r="H823" s="2"/>
      <c r="I823" s="2"/>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4">
      <c r="A824" s="28"/>
      <c r="B824" s="1"/>
      <c r="C824" s="1"/>
      <c r="D824" s="110"/>
      <c r="E824" s="1"/>
      <c r="F824" s="1"/>
      <c r="G824" s="1"/>
      <c r="H824" s="2"/>
      <c r="I824" s="2"/>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4">
      <c r="A825" s="28"/>
      <c r="B825" s="1"/>
      <c r="C825" s="1"/>
      <c r="D825" s="110"/>
      <c r="E825" s="1"/>
      <c r="F825" s="1"/>
      <c r="G825" s="1"/>
      <c r="H825" s="2"/>
      <c r="I825" s="2"/>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4">
      <c r="A826" s="28"/>
      <c r="B826" s="1"/>
      <c r="C826" s="1"/>
      <c r="D826" s="110"/>
      <c r="E826" s="1"/>
      <c r="F826" s="1"/>
      <c r="G826" s="1"/>
      <c r="H826" s="2"/>
      <c r="I826" s="2"/>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4">
      <c r="A827" s="28"/>
      <c r="B827" s="1"/>
      <c r="C827" s="1"/>
      <c r="D827" s="110"/>
      <c r="E827" s="1"/>
      <c r="F827" s="1"/>
      <c r="G827" s="1"/>
      <c r="H827" s="2"/>
      <c r="I827" s="2"/>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4">
      <c r="A828" s="28"/>
      <c r="B828" s="1"/>
      <c r="C828" s="1"/>
      <c r="D828" s="110"/>
      <c r="E828" s="1"/>
      <c r="F828" s="1"/>
      <c r="G828" s="1"/>
      <c r="H828" s="2"/>
      <c r="I828" s="2"/>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4">
      <c r="A829" s="28"/>
      <c r="B829" s="1"/>
      <c r="C829" s="1"/>
      <c r="D829" s="110"/>
      <c r="E829" s="1"/>
      <c r="F829" s="1"/>
      <c r="G829" s="1"/>
      <c r="H829" s="2"/>
      <c r="I829" s="2"/>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4">
      <c r="A830" s="28"/>
      <c r="B830" s="1"/>
      <c r="C830" s="1"/>
      <c r="D830" s="110"/>
      <c r="E830" s="1"/>
      <c r="F830" s="1"/>
      <c r="G830" s="1"/>
      <c r="H830" s="2"/>
      <c r="I830" s="2"/>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4">
      <c r="A831" s="28"/>
      <c r="B831" s="1"/>
      <c r="C831" s="1"/>
      <c r="D831" s="110"/>
      <c r="E831" s="1"/>
      <c r="F831" s="1"/>
      <c r="G831" s="1"/>
      <c r="H831" s="2"/>
      <c r="I831" s="2"/>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4">
      <c r="A832" s="28"/>
      <c r="B832" s="1"/>
      <c r="C832" s="1"/>
      <c r="D832" s="110"/>
      <c r="E832" s="1"/>
      <c r="F832" s="1"/>
      <c r="G832" s="1"/>
      <c r="H832" s="2"/>
      <c r="I832" s="2"/>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4">
      <c r="A833" s="28"/>
      <c r="B833" s="1"/>
      <c r="C833" s="1"/>
      <c r="D833" s="110"/>
      <c r="E833" s="1"/>
      <c r="F833" s="1"/>
      <c r="G833" s="1"/>
      <c r="H833" s="2"/>
      <c r="I833" s="2"/>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4">
      <c r="A834" s="28"/>
      <c r="B834" s="1"/>
      <c r="C834" s="1"/>
      <c r="D834" s="110"/>
      <c r="E834" s="1"/>
      <c r="F834" s="1"/>
      <c r="G834" s="1"/>
      <c r="H834" s="2"/>
      <c r="I834" s="2"/>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4">
      <c r="A835" s="28"/>
      <c r="B835" s="1"/>
      <c r="C835" s="1"/>
      <c r="D835" s="110"/>
      <c r="E835" s="1"/>
      <c r="F835" s="1"/>
      <c r="G835" s="1"/>
      <c r="H835" s="2"/>
      <c r="I835" s="2"/>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4">
      <c r="A836" s="28"/>
      <c r="B836" s="1"/>
      <c r="C836" s="1"/>
      <c r="D836" s="110"/>
      <c r="E836" s="1"/>
      <c r="F836" s="1"/>
      <c r="G836" s="1"/>
      <c r="H836" s="2"/>
      <c r="I836" s="2"/>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4">
      <c r="A837" s="28"/>
      <c r="B837" s="1"/>
      <c r="C837" s="1"/>
      <c r="D837" s="110"/>
      <c r="E837" s="1"/>
      <c r="F837" s="1"/>
      <c r="G837" s="1"/>
      <c r="H837" s="2"/>
      <c r="I837" s="2"/>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4">
      <c r="A838" s="28"/>
      <c r="B838" s="1"/>
      <c r="C838" s="1"/>
      <c r="D838" s="110"/>
      <c r="E838" s="1"/>
      <c r="F838" s="1"/>
      <c r="G838" s="1"/>
      <c r="H838" s="2"/>
      <c r="I838" s="2"/>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4">
      <c r="A839" s="28"/>
      <c r="B839" s="1"/>
      <c r="C839" s="1"/>
      <c r="D839" s="110"/>
      <c r="E839" s="1"/>
      <c r="F839" s="1"/>
      <c r="G839" s="1"/>
      <c r="H839" s="2"/>
      <c r="I839" s="2"/>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4">
      <c r="A840" s="28"/>
      <c r="B840" s="1"/>
      <c r="C840" s="1"/>
      <c r="D840" s="110"/>
      <c r="E840" s="1"/>
      <c r="F840" s="1"/>
      <c r="G840" s="1"/>
      <c r="H840" s="2"/>
      <c r="I840" s="2"/>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4">
      <c r="A841" s="28"/>
      <c r="B841" s="1"/>
      <c r="C841" s="1"/>
      <c r="D841" s="110"/>
      <c r="E841" s="1"/>
      <c r="F841" s="1"/>
      <c r="G841" s="1"/>
      <c r="H841" s="2"/>
      <c r="I841" s="2"/>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4">
      <c r="A842" s="28"/>
      <c r="B842" s="1"/>
      <c r="C842" s="1"/>
      <c r="D842" s="110"/>
      <c r="E842" s="1"/>
      <c r="F842" s="1"/>
      <c r="G842" s="1"/>
      <c r="H842" s="2"/>
      <c r="I842" s="2"/>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4">
      <c r="A843" s="28"/>
      <c r="B843" s="1"/>
      <c r="C843" s="1"/>
      <c r="D843" s="110"/>
      <c r="E843" s="1"/>
      <c r="F843" s="1"/>
      <c r="G843" s="1"/>
      <c r="H843" s="2"/>
      <c r="I843" s="2"/>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4">
      <c r="A844" s="28"/>
      <c r="B844" s="1"/>
      <c r="C844" s="1"/>
      <c r="D844" s="110"/>
      <c r="E844" s="1"/>
      <c r="F844" s="1"/>
      <c r="G844" s="1"/>
      <c r="H844" s="2"/>
      <c r="I844" s="2"/>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4">
      <c r="A845" s="28"/>
      <c r="B845" s="1"/>
      <c r="C845" s="1"/>
      <c r="D845" s="110"/>
      <c r="E845" s="1"/>
      <c r="F845" s="1"/>
      <c r="G845" s="1"/>
      <c r="H845" s="2"/>
      <c r="I845" s="2"/>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4">
      <c r="A846" s="28"/>
      <c r="B846" s="1"/>
      <c r="C846" s="1"/>
      <c r="D846" s="110"/>
      <c r="E846" s="1"/>
      <c r="F846" s="1"/>
      <c r="G846" s="1"/>
      <c r="H846" s="2"/>
      <c r="I846" s="2"/>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4">
      <c r="A847" s="28"/>
      <c r="B847" s="1"/>
      <c r="C847" s="1"/>
      <c r="D847" s="110"/>
      <c r="E847" s="1"/>
      <c r="F847" s="1"/>
      <c r="G847" s="1"/>
      <c r="H847" s="2"/>
      <c r="I847" s="2"/>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4">
      <c r="A848" s="28"/>
      <c r="B848" s="1"/>
      <c r="C848" s="1"/>
      <c r="D848" s="110"/>
      <c r="E848" s="1"/>
      <c r="F848" s="1"/>
      <c r="G848" s="1"/>
      <c r="H848" s="2"/>
      <c r="I848" s="2"/>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4">
      <c r="A849" s="28"/>
      <c r="B849" s="1"/>
      <c r="C849" s="1"/>
      <c r="D849" s="110"/>
      <c r="E849" s="1"/>
      <c r="F849" s="1"/>
      <c r="G849" s="1"/>
      <c r="H849" s="2"/>
      <c r="I849" s="2"/>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4">
      <c r="A850" s="28"/>
      <c r="B850" s="1"/>
      <c r="C850" s="1"/>
      <c r="D850" s="110"/>
      <c r="E850" s="1"/>
      <c r="F850" s="1"/>
      <c r="G850" s="1"/>
      <c r="H850" s="2"/>
      <c r="I850" s="2"/>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4">
      <c r="A851" s="28"/>
      <c r="B851" s="1"/>
      <c r="C851" s="1"/>
      <c r="D851" s="110"/>
      <c r="E851" s="1"/>
      <c r="F851" s="1"/>
      <c r="G851" s="1"/>
      <c r="H851" s="2"/>
      <c r="I851" s="2"/>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4">
      <c r="A852" s="28"/>
      <c r="B852" s="1"/>
      <c r="C852" s="1"/>
      <c r="D852" s="110"/>
      <c r="E852" s="1"/>
      <c r="F852" s="1"/>
      <c r="G852" s="1"/>
      <c r="H852" s="2"/>
      <c r="I852" s="2"/>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4">
      <c r="A853" s="28"/>
      <c r="B853" s="1"/>
      <c r="C853" s="1"/>
      <c r="D853" s="110"/>
      <c r="E853" s="1"/>
      <c r="F853" s="1"/>
      <c r="G853" s="1"/>
      <c r="H853" s="2"/>
      <c r="I853" s="2"/>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4">
      <c r="A854" s="28"/>
      <c r="B854" s="1"/>
      <c r="C854" s="1"/>
      <c r="D854" s="110"/>
      <c r="E854" s="1"/>
      <c r="F854" s="1"/>
      <c r="G854" s="1"/>
      <c r="H854" s="2"/>
      <c r="I854" s="2"/>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4">
      <c r="A855" s="28"/>
      <c r="B855" s="1"/>
      <c r="C855" s="1"/>
      <c r="D855" s="110"/>
      <c r="E855" s="1"/>
      <c r="F855" s="1"/>
      <c r="G855" s="1"/>
      <c r="H855" s="2"/>
      <c r="I855" s="2"/>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4">
      <c r="A856" s="28"/>
      <c r="B856" s="1"/>
      <c r="C856" s="1"/>
      <c r="D856" s="110"/>
      <c r="E856" s="1"/>
      <c r="F856" s="1"/>
      <c r="G856" s="1"/>
      <c r="H856" s="2"/>
      <c r="I856" s="2"/>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4">
      <c r="A857" s="28"/>
      <c r="B857" s="1"/>
      <c r="C857" s="1"/>
      <c r="D857" s="110"/>
      <c r="E857" s="1"/>
      <c r="F857" s="1"/>
      <c r="G857" s="1"/>
      <c r="H857" s="2"/>
      <c r="I857" s="2"/>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4">
      <c r="A858" s="28"/>
      <c r="B858" s="1"/>
      <c r="C858" s="1"/>
      <c r="D858" s="110"/>
      <c r="E858" s="1"/>
      <c r="F858" s="1"/>
      <c r="G858" s="1"/>
      <c r="H858" s="2"/>
      <c r="I858" s="2"/>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4">
      <c r="A859" s="28"/>
      <c r="B859" s="1"/>
      <c r="C859" s="1"/>
      <c r="D859" s="110"/>
      <c r="E859" s="1"/>
      <c r="F859" s="1"/>
      <c r="G859" s="1"/>
      <c r="H859" s="2"/>
      <c r="I859" s="2"/>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4">
      <c r="A860" s="28"/>
      <c r="B860" s="1"/>
      <c r="C860" s="1"/>
      <c r="D860" s="110"/>
      <c r="E860" s="1"/>
      <c r="F860" s="1"/>
      <c r="G860" s="1"/>
      <c r="H860" s="2"/>
      <c r="I860" s="2"/>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4">
      <c r="A861" s="28"/>
      <c r="B861" s="1"/>
      <c r="C861" s="1"/>
      <c r="D861" s="110"/>
      <c r="E861" s="1"/>
      <c r="F861" s="1"/>
      <c r="G861" s="1"/>
      <c r="H861" s="2"/>
      <c r="I861" s="2"/>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4">
      <c r="A862" s="28"/>
      <c r="B862" s="1"/>
      <c r="C862" s="1"/>
      <c r="D862" s="110"/>
      <c r="E862" s="1"/>
      <c r="F862" s="1"/>
      <c r="G862" s="1"/>
      <c r="H862" s="2"/>
      <c r="I862" s="2"/>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4">
      <c r="A863" s="28"/>
      <c r="B863" s="1"/>
      <c r="C863" s="1"/>
      <c r="D863" s="110"/>
      <c r="E863" s="1"/>
      <c r="F863" s="1"/>
      <c r="G863" s="1"/>
      <c r="H863" s="2"/>
      <c r="I863" s="2"/>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4">
      <c r="A864" s="28"/>
      <c r="B864" s="1"/>
      <c r="C864" s="1"/>
      <c r="D864" s="110"/>
      <c r="E864" s="1"/>
      <c r="F864" s="1"/>
      <c r="G864" s="1"/>
      <c r="H864" s="2"/>
      <c r="I864" s="2"/>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4">
      <c r="A865" s="28"/>
      <c r="B865" s="1"/>
      <c r="C865" s="1"/>
      <c r="D865" s="110"/>
      <c r="E865" s="1"/>
      <c r="F865" s="1"/>
      <c r="G865" s="1"/>
      <c r="H865" s="2"/>
      <c r="I865" s="2"/>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4">
      <c r="A866" s="28"/>
      <c r="B866" s="1"/>
      <c r="C866" s="1"/>
      <c r="D866" s="110"/>
      <c r="E866" s="1"/>
      <c r="F866" s="1"/>
      <c r="G866" s="1"/>
      <c r="H866" s="2"/>
      <c r="I866" s="2"/>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4">
      <c r="A867" s="28"/>
      <c r="B867" s="1"/>
      <c r="C867" s="1"/>
      <c r="D867" s="110"/>
      <c r="E867" s="1"/>
      <c r="F867" s="1"/>
      <c r="G867" s="1"/>
      <c r="H867" s="2"/>
      <c r="I867" s="2"/>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4">
      <c r="A868" s="28"/>
      <c r="B868" s="1"/>
      <c r="C868" s="1"/>
      <c r="D868" s="110"/>
      <c r="E868" s="1"/>
      <c r="F868" s="1"/>
      <c r="G868" s="1"/>
      <c r="H868" s="2"/>
      <c r="I868" s="2"/>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4">
      <c r="A869" s="28"/>
      <c r="B869" s="1"/>
      <c r="C869" s="1"/>
      <c r="D869" s="110"/>
      <c r="E869" s="1"/>
      <c r="F869" s="1"/>
      <c r="G869" s="1"/>
      <c r="H869" s="2"/>
      <c r="I869" s="2"/>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4">
      <c r="A870" s="28"/>
      <c r="B870" s="1"/>
      <c r="C870" s="1"/>
      <c r="D870" s="110"/>
      <c r="E870" s="1"/>
      <c r="F870" s="1"/>
      <c r="G870" s="1"/>
      <c r="H870" s="2"/>
      <c r="I870" s="2"/>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4">
      <c r="A871" s="28"/>
      <c r="B871" s="1"/>
      <c r="C871" s="1"/>
      <c r="D871" s="110"/>
      <c r="E871" s="1"/>
      <c r="F871" s="1"/>
      <c r="G871" s="1"/>
      <c r="H871" s="2"/>
      <c r="I871" s="2"/>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4">
      <c r="A872" s="28"/>
      <c r="B872" s="1"/>
      <c r="C872" s="1"/>
      <c r="D872" s="110"/>
      <c r="E872" s="1"/>
      <c r="F872" s="1"/>
      <c r="G872" s="1"/>
      <c r="H872" s="2"/>
      <c r="I872" s="2"/>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4">
      <c r="A873" s="28"/>
      <c r="B873" s="1"/>
      <c r="C873" s="1"/>
      <c r="D873" s="110"/>
      <c r="E873" s="1"/>
      <c r="F873" s="1"/>
      <c r="G873" s="1"/>
      <c r="H873" s="2"/>
      <c r="I873" s="2"/>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4">
      <c r="A874" s="28"/>
      <c r="B874" s="1"/>
      <c r="C874" s="1"/>
      <c r="D874" s="110"/>
      <c r="E874" s="1"/>
      <c r="F874" s="1"/>
      <c r="G874" s="1"/>
      <c r="H874" s="2"/>
      <c r="I874" s="2"/>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4">
      <c r="A875" s="28"/>
      <c r="B875" s="1"/>
      <c r="C875" s="1"/>
      <c r="D875" s="110"/>
      <c r="E875" s="1"/>
      <c r="F875" s="1"/>
      <c r="G875" s="1"/>
      <c r="H875" s="2"/>
      <c r="I875" s="2"/>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4">
      <c r="A876" s="28"/>
      <c r="B876" s="1"/>
      <c r="C876" s="1"/>
      <c r="D876" s="110"/>
      <c r="E876" s="1"/>
      <c r="F876" s="1"/>
      <c r="G876" s="1"/>
      <c r="H876" s="2"/>
      <c r="I876" s="2"/>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4">
      <c r="A877" s="28"/>
      <c r="B877" s="1"/>
      <c r="C877" s="1"/>
      <c r="D877" s="110"/>
      <c r="E877" s="1"/>
      <c r="F877" s="1"/>
      <c r="G877" s="1"/>
      <c r="H877" s="2"/>
      <c r="I877" s="2"/>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4">
      <c r="A878" s="28"/>
      <c r="B878" s="1"/>
      <c r="C878" s="1"/>
      <c r="D878" s="110"/>
      <c r="E878" s="1"/>
      <c r="F878" s="1"/>
      <c r="G878" s="1"/>
      <c r="H878" s="2"/>
      <c r="I878" s="2"/>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4">
      <c r="A879" s="28"/>
      <c r="B879" s="1"/>
      <c r="C879" s="1"/>
      <c r="D879" s="110"/>
      <c r="E879" s="1"/>
      <c r="F879" s="1"/>
      <c r="G879" s="1"/>
      <c r="H879" s="2"/>
      <c r="I879" s="2"/>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4">
      <c r="A880" s="28"/>
      <c r="B880" s="1"/>
      <c r="C880" s="1"/>
      <c r="D880" s="110"/>
      <c r="E880" s="1"/>
      <c r="F880" s="1"/>
      <c r="G880" s="1"/>
      <c r="H880" s="2"/>
      <c r="I880" s="2"/>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4">
      <c r="A881" s="28"/>
      <c r="B881" s="1"/>
      <c r="C881" s="1"/>
      <c r="D881" s="110"/>
      <c r="E881" s="1"/>
      <c r="F881" s="1"/>
      <c r="G881" s="1"/>
      <c r="H881" s="2"/>
      <c r="I881" s="2"/>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4">
      <c r="A882" s="28"/>
      <c r="B882" s="1"/>
      <c r="C882" s="1"/>
      <c r="D882" s="110"/>
      <c r="E882" s="1"/>
      <c r="F882" s="1"/>
      <c r="G882" s="1"/>
      <c r="H882" s="2"/>
      <c r="I882" s="2"/>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4">
      <c r="A883" s="28"/>
      <c r="B883" s="1"/>
      <c r="C883" s="1"/>
      <c r="D883" s="110"/>
      <c r="E883" s="1"/>
      <c r="F883" s="1"/>
      <c r="G883" s="1"/>
      <c r="H883" s="2"/>
      <c r="I883" s="2"/>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4">
      <c r="A884" s="28"/>
      <c r="B884" s="1"/>
      <c r="C884" s="1"/>
      <c r="D884" s="110"/>
      <c r="E884" s="1"/>
      <c r="F884" s="1"/>
      <c r="G884" s="1"/>
      <c r="H884" s="2"/>
      <c r="I884" s="2"/>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4">
      <c r="A885" s="28"/>
      <c r="B885" s="1"/>
      <c r="C885" s="1"/>
      <c r="D885" s="110"/>
      <c r="E885" s="1"/>
      <c r="F885" s="1"/>
      <c r="G885" s="1"/>
      <c r="H885" s="2"/>
      <c r="I885" s="2"/>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4">
      <c r="A886" s="28"/>
      <c r="B886" s="1"/>
      <c r="C886" s="1"/>
      <c r="D886" s="110"/>
      <c r="E886" s="1"/>
      <c r="F886" s="1"/>
      <c r="G886" s="1"/>
      <c r="H886" s="2"/>
      <c r="I886" s="2"/>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4">
      <c r="A887" s="28"/>
      <c r="B887" s="1"/>
      <c r="C887" s="1"/>
      <c r="D887" s="110"/>
      <c r="E887" s="1"/>
      <c r="F887" s="1"/>
      <c r="G887" s="1"/>
      <c r="H887" s="2"/>
      <c r="I887" s="2"/>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4">
      <c r="A888" s="28"/>
      <c r="B888" s="1"/>
      <c r="C888" s="1"/>
      <c r="D888" s="110"/>
      <c r="E888" s="1"/>
      <c r="F888" s="1"/>
      <c r="G888" s="1"/>
      <c r="H888" s="2"/>
      <c r="I888" s="2"/>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4">
      <c r="A889" s="28"/>
      <c r="B889" s="1"/>
      <c r="C889" s="1"/>
      <c r="D889" s="110"/>
      <c r="E889" s="1"/>
      <c r="F889" s="1"/>
      <c r="G889" s="1"/>
      <c r="H889" s="2"/>
      <c r="I889" s="2"/>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4">
      <c r="A890" s="28"/>
      <c r="B890" s="1"/>
      <c r="C890" s="1"/>
      <c r="D890" s="110"/>
      <c r="E890" s="1"/>
      <c r="F890" s="1"/>
      <c r="G890" s="1"/>
      <c r="H890" s="2"/>
      <c r="I890" s="2"/>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4">
      <c r="A891" s="28"/>
      <c r="B891" s="1"/>
      <c r="C891" s="1"/>
      <c r="D891" s="110"/>
      <c r="E891" s="1"/>
      <c r="F891" s="1"/>
      <c r="G891" s="1"/>
      <c r="H891" s="2"/>
      <c r="I891" s="2"/>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4">
      <c r="A892" s="28"/>
      <c r="B892" s="1"/>
      <c r="C892" s="1"/>
      <c r="D892" s="110"/>
      <c r="E892" s="1"/>
      <c r="F892" s="1"/>
      <c r="G892" s="1"/>
      <c r="H892" s="2"/>
      <c r="I892" s="2"/>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4">
      <c r="A893" s="28"/>
      <c r="B893" s="1"/>
      <c r="C893" s="1"/>
      <c r="D893" s="110"/>
      <c r="E893" s="1"/>
      <c r="F893" s="1"/>
      <c r="G893" s="1"/>
      <c r="H893" s="2"/>
      <c r="I893" s="2"/>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4">
      <c r="A894" s="28"/>
      <c r="B894" s="1"/>
      <c r="C894" s="1"/>
      <c r="D894" s="110"/>
      <c r="E894" s="1"/>
      <c r="F894" s="1"/>
      <c r="G894" s="1"/>
      <c r="H894" s="2"/>
      <c r="I894" s="2"/>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4">
      <c r="A895" s="28"/>
      <c r="B895" s="1"/>
      <c r="C895" s="1"/>
      <c r="D895" s="110"/>
      <c r="E895" s="1"/>
      <c r="F895" s="1"/>
      <c r="G895" s="1"/>
      <c r="H895" s="2"/>
      <c r="I895" s="2"/>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4">
      <c r="A896" s="28"/>
      <c r="B896" s="1"/>
      <c r="C896" s="1"/>
      <c r="D896" s="110"/>
      <c r="E896" s="1"/>
      <c r="F896" s="1"/>
      <c r="G896" s="1"/>
      <c r="H896" s="2"/>
      <c r="I896" s="2"/>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4">
      <c r="A897" s="28"/>
      <c r="B897" s="1"/>
      <c r="C897" s="1"/>
      <c r="D897" s="110"/>
      <c r="E897" s="1"/>
      <c r="F897" s="1"/>
      <c r="G897" s="1"/>
      <c r="H897" s="2"/>
      <c r="I897" s="2"/>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4">
      <c r="A898" s="28"/>
      <c r="B898" s="1"/>
      <c r="C898" s="1"/>
      <c r="D898" s="110"/>
      <c r="E898" s="1"/>
      <c r="F898" s="1"/>
      <c r="G898" s="1"/>
      <c r="H898" s="2"/>
      <c r="I898" s="2"/>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4">
      <c r="A899" s="28"/>
      <c r="B899" s="1"/>
      <c r="C899" s="1"/>
      <c r="D899" s="110"/>
      <c r="E899" s="1"/>
      <c r="F899" s="1"/>
      <c r="G899" s="1"/>
      <c r="H899" s="2"/>
      <c r="I899" s="2"/>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4">
      <c r="A900" s="28"/>
      <c r="B900" s="1"/>
      <c r="C900" s="1"/>
      <c r="D900" s="110"/>
      <c r="E900" s="1"/>
      <c r="F900" s="1"/>
      <c r="G900" s="1"/>
      <c r="H900" s="2"/>
      <c r="I900" s="2"/>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4">
      <c r="A901" s="28"/>
      <c r="B901" s="1"/>
      <c r="C901" s="1"/>
      <c r="D901" s="110"/>
      <c r="E901" s="1"/>
      <c r="F901" s="1"/>
      <c r="G901" s="1"/>
      <c r="H901" s="2"/>
      <c r="I901" s="2"/>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4">
      <c r="A902" s="28"/>
      <c r="B902" s="1"/>
      <c r="C902" s="1"/>
      <c r="D902" s="110"/>
      <c r="E902" s="1"/>
      <c r="F902" s="1"/>
      <c r="G902" s="1"/>
      <c r="H902" s="2"/>
      <c r="I902" s="2"/>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4">
      <c r="A903" s="28"/>
      <c r="B903" s="1"/>
      <c r="C903" s="1"/>
      <c r="D903" s="110"/>
      <c r="E903" s="1"/>
      <c r="F903" s="1"/>
      <c r="G903" s="1"/>
      <c r="H903" s="2"/>
      <c r="I903" s="2"/>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4">
      <c r="A904" s="28"/>
      <c r="B904" s="1"/>
      <c r="C904" s="1"/>
      <c r="D904" s="110"/>
      <c r="E904" s="1"/>
      <c r="F904" s="1"/>
      <c r="G904" s="1"/>
      <c r="H904" s="2"/>
      <c r="I904" s="2"/>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4">
      <c r="A905" s="28"/>
      <c r="B905" s="1"/>
      <c r="C905" s="1"/>
      <c r="D905" s="110"/>
      <c r="E905" s="1"/>
      <c r="F905" s="1"/>
      <c r="G905" s="1"/>
      <c r="H905" s="2"/>
      <c r="I905" s="2"/>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4">
      <c r="A906" s="28"/>
      <c r="B906" s="1"/>
      <c r="C906" s="1"/>
      <c r="D906" s="110"/>
      <c r="E906" s="1"/>
      <c r="F906" s="1"/>
      <c r="G906" s="1"/>
      <c r="H906" s="2"/>
      <c r="I906" s="2"/>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4">
      <c r="A907" s="28"/>
      <c r="B907" s="1"/>
      <c r="C907" s="1"/>
      <c r="D907" s="110"/>
      <c r="E907" s="1"/>
      <c r="F907" s="1"/>
      <c r="G907" s="1"/>
      <c r="H907" s="2"/>
      <c r="I907" s="2"/>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4">
      <c r="A908" s="28"/>
      <c r="B908" s="1"/>
      <c r="C908" s="1"/>
      <c r="D908" s="110"/>
      <c r="E908" s="1"/>
      <c r="F908" s="1"/>
      <c r="G908" s="1"/>
      <c r="H908" s="2"/>
      <c r="I908" s="2"/>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4">
      <c r="A909" s="28"/>
      <c r="B909" s="1"/>
      <c r="C909" s="1"/>
      <c r="D909" s="110"/>
      <c r="E909" s="1"/>
      <c r="F909" s="1"/>
      <c r="G909" s="1"/>
      <c r="H909" s="2"/>
      <c r="I909" s="2"/>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4">
      <c r="A910" s="28"/>
      <c r="B910" s="1"/>
      <c r="C910" s="1"/>
      <c r="D910" s="110"/>
      <c r="E910" s="1"/>
      <c r="F910" s="1"/>
      <c r="G910" s="1"/>
      <c r="H910" s="2"/>
      <c r="I910" s="2"/>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4">
      <c r="A911" s="28"/>
      <c r="B911" s="1"/>
      <c r="C911" s="1"/>
      <c r="D911" s="110"/>
      <c r="E911" s="1"/>
      <c r="F911" s="1"/>
      <c r="G911" s="1"/>
      <c r="H911" s="2"/>
      <c r="I911" s="2"/>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4">
      <c r="A912" s="28"/>
      <c r="B912" s="1"/>
      <c r="C912" s="1"/>
      <c r="D912" s="110"/>
      <c r="E912" s="1"/>
      <c r="F912" s="1"/>
      <c r="G912" s="1"/>
      <c r="H912" s="2"/>
      <c r="I912" s="2"/>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4">
      <c r="A913" s="28"/>
      <c r="B913" s="1"/>
      <c r="C913" s="1"/>
      <c r="D913" s="110"/>
      <c r="E913" s="1"/>
      <c r="F913" s="1"/>
      <c r="G913" s="1"/>
      <c r="H913" s="2"/>
      <c r="I913" s="2"/>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4">
      <c r="A914" s="28"/>
      <c r="B914" s="1"/>
      <c r="C914" s="1"/>
      <c r="D914" s="110"/>
      <c r="E914" s="1"/>
      <c r="F914" s="1"/>
      <c r="G914" s="1"/>
      <c r="H914" s="2"/>
      <c r="I914" s="2"/>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4">
      <c r="A915" s="28"/>
      <c r="B915" s="1"/>
      <c r="C915" s="1"/>
      <c r="D915" s="110"/>
      <c r="E915" s="1"/>
      <c r="F915" s="1"/>
      <c r="G915" s="1"/>
      <c r="H915" s="2"/>
      <c r="I915" s="2"/>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4">
      <c r="A916" s="28"/>
      <c r="B916" s="1"/>
      <c r="C916" s="1"/>
      <c r="D916" s="110"/>
      <c r="E916" s="1"/>
      <c r="F916" s="1"/>
      <c r="G916" s="1"/>
      <c r="H916" s="2"/>
      <c r="I916" s="2"/>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4">
      <c r="A917" s="28"/>
      <c r="B917" s="1"/>
      <c r="C917" s="1"/>
      <c r="D917" s="110"/>
      <c r="E917" s="1"/>
      <c r="F917" s="1"/>
      <c r="G917" s="1"/>
      <c r="H917" s="2"/>
      <c r="I917" s="2"/>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4">
      <c r="A918" s="28"/>
      <c r="B918" s="1"/>
      <c r="C918" s="1"/>
      <c r="D918" s="110"/>
      <c r="E918" s="1"/>
      <c r="F918" s="1"/>
      <c r="G918" s="1"/>
      <c r="H918" s="2"/>
      <c r="I918" s="2"/>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4">
      <c r="A919" s="28"/>
      <c r="B919" s="1"/>
      <c r="C919" s="1"/>
      <c r="D919" s="110"/>
      <c r="E919" s="1"/>
      <c r="F919" s="1"/>
      <c r="G919" s="1"/>
      <c r="H919" s="2"/>
      <c r="I919" s="2"/>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4">
      <c r="A920" s="28"/>
      <c r="B920" s="1"/>
      <c r="C920" s="1"/>
      <c r="D920" s="110"/>
      <c r="E920" s="1"/>
      <c r="F920" s="1"/>
      <c r="G920" s="1"/>
      <c r="H920" s="2"/>
      <c r="I920" s="2"/>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4">
      <c r="A921" s="28"/>
      <c r="B921" s="1"/>
      <c r="C921" s="1"/>
      <c r="D921" s="110"/>
      <c r="E921" s="1"/>
      <c r="F921" s="1"/>
      <c r="G921" s="1"/>
      <c r="H921" s="2"/>
      <c r="I921" s="2"/>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4">
      <c r="A922" s="28"/>
      <c r="B922" s="1"/>
      <c r="C922" s="1"/>
      <c r="D922" s="110"/>
      <c r="E922" s="1"/>
      <c r="F922" s="1"/>
      <c r="G922" s="1"/>
      <c r="H922" s="2"/>
      <c r="I922" s="2"/>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4">
      <c r="A923" s="28"/>
      <c r="B923" s="1"/>
      <c r="C923" s="1"/>
      <c r="D923" s="110"/>
      <c r="E923" s="1"/>
      <c r="F923" s="1"/>
      <c r="G923" s="1"/>
      <c r="H923" s="2"/>
      <c r="I923" s="2"/>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4">
      <c r="A924" s="28"/>
      <c r="B924" s="1"/>
      <c r="C924" s="1"/>
      <c r="D924" s="110"/>
      <c r="E924" s="1"/>
      <c r="F924" s="1"/>
      <c r="G924" s="1"/>
      <c r="H924" s="2"/>
      <c r="I924" s="2"/>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4">
      <c r="A925" s="28"/>
      <c r="B925" s="1"/>
      <c r="C925" s="1"/>
      <c r="D925" s="110"/>
      <c r="E925" s="1"/>
      <c r="F925" s="1"/>
      <c r="G925" s="1"/>
      <c r="H925" s="2"/>
      <c r="I925" s="2"/>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4">
      <c r="A926" s="28"/>
      <c r="B926" s="1"/>
      <c r="C926" s="1"/>
      <c r="D926" s="110"/>
      <c r="E926" s="1"/>
      <c r="F926" s="1"/>
      <c r="G926" s="1"/>
      <c r="H926" s="2"/>
      <c r="I926" s="2"/>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4">
      <c r="A927" s="28"/>
      <c r="B927" s="1"/>
      <c r="C927" s="1"/>
      <c r="D927" s="110"/>
      <c r="E927" s="1"/>
      <c r="F927" s="1"/>
      <c r="G927" s="1"/>
      <c r="H927" s="2"/>
      <c r="I927" s="2"/>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4">
      <c r="A928" s="28"/>
      <c r="B928" s="1"/>
      <c r="C928" s="1"/>
      <c r="D928" s="110"/>
      <c r="E928" s="1"/>
      <c r="F928" s="1"/>
      <c r="G928" s="1"/>
      <c r="H928" s="2"/>
      <c r="I928" s="2"/>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4">
      <c r="A929" s="28"/>
      <c r="B929" s="1"/>
      <c r="C929" s="1"/>
      <c r="D929" s="110"/>
      <c r="E929" s="1"/>
      <c r="F929" s="1"/>
      <c r="G929" s="1"/>
      <c r="H929" s="2"/>
      <c r="I929" s="2"/>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4">
      <c r="A930" s="28"/>
      <c r="B930" s="1"/>
      <c r="C930" s="1"/>
      <c r="D930" s="110"/>
      <c r="E930" s="1"/>
      <c r="F930" s="1"/>
      <c r="G930" s="1"/>
      <c r="H930" s="2"/>
      <c r="I930" s="2"/>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4">
      <c r="A931" s="28"/>
      <c r="B931" s="1"/>
      <c r="C931" s="1"/>
      <c r="D931" s="110"/>
      <c r="E931" s="1"/>
      <c r="F931" s="1"/>
      <c r="G931" s="1"/>
      <c r="H931" s="2"/>
      <c r="I931" s="2"/>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4">
      <c r="A932" s="28"/>
      <c r="B932" s="1"/>
      <c r="C932" s="1"/>
      <c r="D932" s="110"/>
      <c r="E932" s="1"/>
      <c r="F932" s="1"/>
      <c r="G932" s="1"/>
      <c r="H932" s="2"/>
      <c r="I932" s="2"/>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4">
      <c r="A933" s="28"/>
      <c r="B933" s="1"/>
      <c r="C933" s="1"/>
      <c r="D933" s="110"/>
      <c r="E933" s="1"/>
      <c r="F933" s="1"/>
      <c r="G933" s="1"/>
      <c r="H933" s="2"/>
      <c r="I933" s="2"/>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4">
      <c r="A934" s="28"/>
      <c r="B934" s="1"/>
      <c r="C934" s="1"/>
      <c r="D934" s="110"/>
      <c r="E934" s="1"/>
      <c r="F934" s="1"/>
      <c r="G934" s="1"/>
      <c r="H934" s="2"/>
      <c r="I934" s="2"/>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4">
      <c r="A935" s="28"/>
      <c r="B935" s="1"/>
      <c r="C935" s="1"/>
      <c r="D935" s="110"/>
      <c r="E935" s="1"/>
      <c r="F935" s="1"/>
      <c r="G935" s="1"/>
      <c r="H935" s="2"/>
      <c r="I935" s="2"/>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4">
      <c r="A936" s="28"/>
      <c r="B936" s="1"/>
      <c r="C936" s="1"/>
      <c r="D936" s="110"/>
      <c r="E936" s="1"/>
      <c r="F936" s="1"/>
      <c r="G936" s="1"/>
      <c r="H936" s="2"/>
      <c r="I936" s="2"/>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4">
      <c r="A937" s="28"/>
      <c r="B937" s="1"/>
      <c r="C937" s="1"/>
      <c r="D937" s="110"/>
      <c r="E937" s="1"/>
      <c r="F937" s="1"/>
      <c r="G937" s="1"/>
      <c r="H937" s="2"/>
      <c r="I937" s="2"/>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4">
      <c r="A938" s="28"/>
      <c r="B938" s="1"/>
      <c r="C938" s="1"/>
      <c r="D938" s="110"/>
      <c r="E938" s="1"/>
      <c r="F938" s="1"/>
      <c r="G938" s="1"/>
      <c r="H938" s="2"/>
      <c r="I938" s="2"/>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4">
      <c r="A939" s="28"/>
      <c r="B939" s="1"/>
      <c r="C939" s="1"/>
      <c r="D939" s="110"/>
      <c r="E939" s="1"/>
      <c r="F939" s="1"/>
      <c r="G939" s="1"/>
      <c r="H939" s="2"/>
      <c r="I939" s="2"/>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4">
      <c r="A940" s="28"/>
      <c r="B940" s="1"/>
      <c r="C940" s="1"/>
      <c r="D940" s="110"/>
      <c r="E940" s="1"/>
      <c r="F940" s="1"/>
      <c r="G940" s="1"/>
      <c r="H940" s="2"/>
      <c r="I940" s="2"/>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4">
      <c r="A941" s="28"/>
      <c r="B941" s="1"/>
      <c r="C941" s="1"/>
      <c r="D941" s="110"/>
      <c r="E941" s="1"/>
      <c r="F941" s="1"/>
      <c r="G941" s="1"/>
      <c r="H941" s="2"/>
      <c r="I941" s="2"/>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4">
      <c r="A942" s="28"/>
      <c r="B942" s="1"/>
      <c r="C942" s="1"/>
      <c r="D942" s="110"/>
      <c r="E942" s="1"/>
      <c r="F942" s="1"/>
      <c r="G942" s="1"/>
      <c r="H942" s="2"/>
      <c r="I942" s="2"/>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4">
      <c r="A943" s="28"/>
      <c r="B943" s="1"/>
      <c r="C943" s="1"/>
      <c r="D943" s="110"/>
      <c r="E943" s="1"/>
      <c r="F943" s="1"/>
      <c r="G943" s="1"/>
      <c r="H943" s="2"/>
      <c r="I943" s="2"/>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4">
      <c r="A944" s="28"/>
      <c r="B944" s="1"/>
      <c r="C944" s="1"/>
      <c r="D944" s="110"/>
      <c r="E944" s="1"/>
      <c r="F944" s="1"/>
      <c r="G944" s="1"/>
      <c r="H944" s="2"/>
      <c r="I944" s="2"/>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4">
      <c r="A945" s="28"/>
      <c r="B945" s="1"/>
      <c r="C945" s="1"/>
      <c r="D945" s="110"/>
      <c r="E945" s="1"/>
      <c r="F945" s="1"/>
      <c r="G945" s="1"/>
      <c r="H945" s="2"/>
      <c r="I945" s="2"/>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4">
      <c r="A946" s="28"/>
      <c r="B946" s="1"/>
      <c r="C946" s="1"/>
      <c r="D946" s="110"/>
      <c r="E946" s="1"/>
      <c r="F946" s="1"/>
      <c r="G946" s="1"/>
      <c r="H946" s="2"/>
      <c r="I946" s="2"/>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4">
      <c r="A947" s="28"/>
      <c r="B947" s="1"/>
      <c r="C947" s="1"/>
      <c r="D947" s="110"/>
      <c r="E947" s="1"/>
      <c r="F947" s="1"/>
      <c r="G947" s="1"/>
      <c r="H947" s="2"/>
      <c r="I947" s="2"/>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4">
      <c r="A948" s="28"/>
      <c r="B948" s="1"/>
      <c r="C948" s="1"/>
      <c r="D948" s="110"/>
      <c r="E948" s="1"/>
      <c r="F948" s="1"/>
      <c r="G948" s="1"/>
      <c r="H948" s="2"/>
      <c r="I948" s="2"/>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4">
      <c r="A949" s="28"/>
      <c r="B949" s="1"/>
      <c r="C949" s="1"/>
      <c r="D949" s="110"/>
      <c r="E949" s="1"/>
      <c r="F949" s="1"/>
      <c r="G949" s="1"/>
      <c r="H949" s="2"/>
      <c r="I949" s="2"/>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4">
      <c r="A950" s="28"/>
      <c r="B950" s="1"/>
      <c r="C950" s="1"/>
      <c r="D950" s="110"/>
      <c r="E950" s="1"/>
      <c r="F950" s="1"/>
      <c r="G950" s="1"/>
      <c r="H950" s="2"/>
      <c r="I950" s="2"/>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4">
      <c r="A951" s="28"/>
      <c r="B951" s="1"/>
      <c r="C951" s="1"/>
      <c r="D951" s="110"/>
      <c r="E951" s="1"/>
      <c r="F951" s="1"/>
      <c r="G951" s="1"/>
      <c r="H951" s="2"/>
      <c r="I951" s="2"/>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4">
      <c r="A952" s="28"/>
      <c r="B952" s="1"/>
      <c r="C952" s="1"/>
      <c r="D952" s="110"/>
      <c r="E952" s="1"/>
      <c r="F952" s="1"/>
      <c r="G952" s="1"/>
      <c r="H952" s="2"/>
      <c r="I952" s="2"/>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4">
      <c r="A953" s="28"/>
      <c r="B953" s="1"/>
      <c r="C953" s="1"/>
      <c r="D953" s="110"/>
      <c r="E953" s="1"/>
      <c r="F953" s="1"/>
      <c r="G953" s="1"/>
      <c r="H953" s="2"/>
      <c r="I953" s="2"/>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4">
      <c r="A954" s="28"/>
      <c r="B954" s="1"/>
      <c r="C954" s="1"/>
      <c r="D954" s="110"/>
      <c r="E954" s="1"/>
      <c r="F954" s="1"/>
      <c r="G954" s="1"/>
      <c r="H954" s="2"/>
      <c r="I954" s="2"/>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4">
      <c r="A955" s="28"/>
      <c r="B955" s="1"/>
      <c r="C955" s="1"/>
      <c r="D955" s="110"/>
      <c r="E955" s="1"/>
      <c r="F955" s="1"/>
      <c r="G955" s="1"/>
      <c r="H955" s="2"/>
      <c r="I955" s="2"/>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4">
      <c r="A956" s="28"/>
      <c r="B956" s="1"/>
      <c r="C956" s="1"/>
      <c r="D956" s="110"/>
      <c r="E956" s="1"/>
      <c r="F956" s="1"/>
      <c r="G956" s="1"/>
      <c r="H956" s="2"/>
      <c r="I956" s="2"/>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4">
      <c r="A957" s="28"/>
      <c r="B957" s="1"/>
      <c r="C957" s="1"/>
      <c r="D957" s="110"/>
      <c r="E957" s="1"/>
      <c r="F957" s="1"/>
      <c r="G957" s="1"/>
      <c r="H957" s="2"/>
      <c r="I957" s="2"/>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4">
      <c r="A958" s="28"/>
      <c r="B958" s="1"/>
      <c r="C958" s="1"/>
      <c r="D958" s="110"/>
      <c r="E958" s="1"/>
      <c r="F958" s="1"/>
      <c r="G958" s="1"/>
      <c r="H958" s="2"/>
      <c r="I958" s="2"/>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4">
      <c r="A959" s="28"/>
      <c r="B959" s="1"/>
      <c r="C959" s="1"/>
      <c r="D959" s="110"/>
      <c r="E959" s="1"/>
      <c r="F959" s="1"/>
      <c r="G959" s="1"/>
      <c r="H959" s="2"/>
      <c r="I959" s="2"/>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4">
      <c r="A960" s="28"/>
      <c r="B960" s="1"/>
      <c r="C960" s="1"/>
      <c r="D960" s="110"/>
      <c r="E960" s="1"/>
      <c r="F960" s="1"/>
      <c r="G960" s="1"/>
      <c r="H960" s="2"/>
      <c r="I960" s="2"/>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4">
      <c r="A961" s="28"/>
      <c r="B961" s="1"/>
      <c r="C961" s="1"/>
      <c r="D961" s="110"/>
      <c r="E961" s="1"/>
      <c r="F961" s="1"/>
      <c r="G961" s="1"/>
      <c r="H961" s="2"/>
      <c r="I961" s="2"/>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4">
      <c r="A962" s="28"/>
      <c r="B962" s="1"/>
      <c r="C962" s="1"/>
      <c r="D962" s="110"/>
      <c r="E962" s="1"/>
      <c r="F962" s="1"/>
      <c r="G962" s="1"/>
      <c r="H962" s="2"/>
      <c r="I962" s="2"/>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4">
      <c r="A963" s="28"/>
      <c r="B963" s="1"/>
      <c r="C963" s="1"/>
      <c r="D963" s="110"/>
      <c r="E963" s="1"/>
      <c r="F963" s="1"/>
      <c r="G963" s="1"/>
      <c r="H963" s="2"/>
      <c r="I963" s="2"/>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4">
      <c r="A964" s="28"/>
      <c r="B964" s="1"/>
      <c r="C964" s="1"/>
      <c r="D964" s="110"/>
      <c r="E964" s="1"/>
      <c r="F964" s="1"/>
      <c r="G964" s="1"/>
      <c r="H964" s="2"/>
      <c r="I964" s="2"/>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4">
      <c r="A965" s="28"/>
      <c r="B965" s="1"/>
      <c r="C965" s="1"/>
      <c r="D965" s="110"/>
      <c r="E965" s="1"/>
      <c r="F965" s="1"/>
      <c r="G965" s="1"/>
      <c r="H965" s="2"/>
      <c r="I965" s="2"/>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4">
      <c r="A966" s="28"/>
      <c r="B966" s="1"/>
      <c r="C966" s="1"/>
      <c r="D966" s="110"/>
      <c r="E966" s="1"/>
      <c r="F966" s="1"/>
      <c r="G966" s="1"/>
      <c r="H966" s="2"/>
      <c r="I966" s="2"/>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4">
      <c r="A967" s="28"/>
      <c r="B967" s="1"/>
      <c r="C967" s="1"/>
      <c r="D967" s="110"/>
      <c r="E967" s="1"/>
      <c r="F967" s="1"/>
      <c r="G967" s="1"/>
      <c r="H967" s="2"/>
      <c r="I967" s="2"/>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4">
      <c r="A968" s="28"/>
      <c r="B968" s="1"/>
      <c r="C968" s="1"/>
      <c r="D968" s="110"/>
      <c r="E968" s="1"/>
      <c r="F968" s="1"/>
      <c r="G968" s="1"/>
      <c r="H968" s="2"/>
      <c r="I968" s="2"/>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4">
      <c r="A969" s="28"/>
      <c r="B969" s="1"/>
      <c r="C969" s="1"/>
      <c r="D969" s="110"/>
      <c r="E969" s="1"/>
      <c r="F969" s="1"/>
      <c r="G969" s="1"/>
      <c r="H969" s="2"/>
      <c r="I969" s="2"/>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4">
      <c r="A970" s="28"/>
      <c r="B970" s="1"/>
      <c r="C970" s="1"/>
      <c r="D970" s="110"/>
      <c r="E970" s="1"/>
      <c r="F970" s="1"/>
      <c r="G970" s="1"/>
      <c r="H970" s="2"/>
      <c r="I970" s="2"/>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4">
      <c r="A971" s="28"/>
      <c r="B971" s="1"/>
      <c r="C971" s="1"/>
      <c r="D971" s="110"/>
      <c r="E971" s="1"/>
      <c r="F971" s="1"/>
      <c r="G971" s="1"/>
      <c r="H971" s="2"/>
      <c r="I971" s="2"/>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4">
      <c r="A972" s="28"/>
      <c r="B972" s="1"/>
      <c r="C972" s="1"/>
      <c r="D972" s="110"/>
      <c r="E972" s="1"/>
      <c r="F972" s="1"/>
      <c r="G972" s="1"/>
      <c r="H972" s="2"/>
      <c r="I972" s="2"/>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4">
      <c r="A973" s="28"/>
      <c r="B973" s="1"/>
      <c r="C973" s="1"/>
      <c r="D973" s="110"/>
      <c r="E973" s="1"/>
      <c r="F973" s="1"/>
      <c r="G973" s="1"/>
      <c r="H973" s="2"/>
      <c r="I973" s="2"/>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4">
      <c r="A974" s="28"/>
      <c r="B974" s="1"/>
      <c r="C974" s="1"/>
      <c r="D974" s="110"/>
      <c r="E974" s="1"/>
      <c r="F974" s="1"/>
      <c r="G974" s="1"/>
      <c r="H974" s="2"/>
      <c r="I974" s="2"/>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4">
      <c r="A975" s="28"/>
      <c r="B975" s="1"/>
      <c r="C975" s="1"/>
      <c r="D975" s="110"/>
      <c r="E975" s="1"/>
      <c r="F975" s="1"/>
      <c r="G975" s="1"/>
      <c r="H975" s="2"/>
      <c r="I975" s="2"/>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4">
      <c r="A976" s="28"/>
      <c r="B976" s="1"/>
      <c r="C976" s="1"/>
      <c r="D976" s="110"/>
      <c r="E976" s="1"/>
      <c r="F976" s="1"/>
      <c r="G976" s="1"/>
      <c r="H976" s="2"/>
      <c r="I976" s="2"/>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4">
      <c r="A977" s="28"/>
      <c r="B977" s="1"/>
      <c r="C977" s="1"/>
      <c r="D977" s="110"/>
      <c r="E977" s="1"/>
      <c r="F977" s="1"/>
      <c r="G977" s="1"/>
      <c r="H977" s="2"/>
      <c r="I977" s="2"/>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4">
      <c r="A978" s="28"/>
      <c r="B978" s="1"/>
      <c r="C978" s="1"/>
      <c r="D978" s="110"/>
      <c r="E978" s="1"/>
      <c r="F978" s="1"/>
      <c r="G978" s="1"/>
      <c r="H978" s="2"/>
      <c r="I978" s="2"/>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4">
      <c r="A979" s="28"/>
      <c r="B979" s="1"/>
      <c r="C979" s="1"/>
      <c r="D979" s="110"/>
      <c r="E979" s="1"/>
      <c r="F979" s="1"/>
      <c r="G979" s="1"/>
      <c r="H979" s="2"/>
      <c r="I979" s="2"/>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4">
      <c r="A980" s="28"/>
      <c r="B980" s="1"/>
      <c r="C980" s="1"/>
      <c r="D980" s="110"/>
      <c r="E980" s="1"/>
      <c r="F980" s="1"/>
      <c r="G980" s="1"/>
      <c r="H980" s="2"/>
      <c r="I980" s="2"/>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4">
      <c r="A981" s="28"/>
      <c r="B981" s="1"/>
      <c r="C981" s="1"/>
      <c r="D981" s="110"/>
      <c r="E981" s="1"/>
      <c r="F981" s="1"/>
      <c r="G981" s="1"/>
      <c r="H981" s="2"/>
      <c r="I981" s="2"/>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4">
      <c r="A982" s="28"/>
      <c r="B982" s="1"/>
      <c r="C982" s="1"/>
      <c r="D982" s="110"/>
      <c r="E982" s="1"/>
      <c r="F982" s="1"/>
      <c r="G982" s="1"/>
      <c r="H982" s="2"/>
      <c r="I982" s="2"/>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4">
      <c r="A983" s="28"/>
      <c r="B983" s="1"/>
      <c r="C983" s="1"/>
      <c r="D983" s="110"/>
      <c r="E983" s="1"/>
      <c r="F983" s="1"/>
      <c r="G983" s="1"/>
      <c r="H983" s="2"/>
      <c r="I983" s="2"/>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4">
      <c r="A984" s="28"/>
      <c r="B984" s="1"/>
      <c r="C984" s="1"/>
      <c r="D984" s="110"/>
      <c r="E984" s="1"/>
      <c r="F984" s="1"/>
      <c r="G984" s="1"/>
      <c r="H984" s="2"/>
      <c r="I984" s="2"/>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4">
      <c r="A985" s="28"/>
      <c r="B985" s="1"/>
      <c r="C985" s="1"/>
      <c r="D985" s="110"/>
      <c r="E985" s="1"/>
      <c r="F985" s="1"/>
      <c r="G985" s="1"/>
      <c r="H985" s="2"/>
      <c r="I985" s="2"/>
      <c r="J985" s="1"/>
      <c r="K985" s="1"/>
      <c r="L985" s="1"/>
      <c r="M985" s="1"/>
      <c r="N985" s="1"/>
      <c r="O985" s="1"/>
      <c r="P985" s="1"/>
      <c r="Q985" s="1"/>
      <c r="R985" s="1"/>
      <c r="S985" s="1"/>
      <c r="T985" s="1"/>
      <c r="U985" s="1"/>
      <c r="V985" s="1"/>
      <c r="W985" s="1"/>
      <c r="X985" s="1"/>
      <c r="Y985" s="1"/>
      <c r="Z985" s="1"/>
      <c r="AA985" s="1"/>
      <c r="AB985" s="1"/>
      <c r="AC985" s="1"/>
    </row>
    <row r="986" spans="1:29" ht="15.75" customHeight="1" x14ac:dyDescent="0.4">
      <c r="A986" s="28"/>
      <c r="B986" s="1"/>
      <c r="C986" s="1"/>
      <c r="D986" s="110"/>
      <c r="E986" s="1"/>
      <c r="F986" s="1"/>
      <c r="G986" s="1"/>
      <c r="H986" s="2"/>
      <c r="I986" s="2"/>
      <c r="J986" s="1"/>
      <c r="K986" s="1"/>
      <c r="L986" s="1"/>
      <c r="M986" s="1"/>
      <c r="N986" s="1"/>
      <c r="O986" s="1"/>
      <c r="P986" s="1"/>
      <c r="Q986" s="1"/>
      <c r="R986" s="1"/>
      <c r="S986" s="1"/>
      <c r="T986" s="1"/>
      <c r="U986" s="1"/>
      <c r="V986" s="1"/>
      <c r="W986" s="1"/>
      <c r="X986" s="1"/>
      <c r="Y986" s="1"/>
      <c r="Z986" s="1"/>
      <c r="AA986" s="1"/>
      <c r="AB986" s="1"/>
      <c r="AC986" s="1"/>
    </row>
    <row r="987" spans="1:29" ht="15.75" customHeight="1" x14ac:dyDescent="0.4">
      <c r="A987" s="28"/>
      <c r="B987" s="1"/>
      <c r="C987" s="1"/>
      <c r="D987" s="110"/>
      <c r="E987" s="1"/>
      <c r="F987" s="1"/>
      <c r="G987" s="1"/>
      <c r="H987" s="2"/>
      <c r="I987" s="2"/>
      <c r="J987" s="1"/>
      <c r="K987" s="1"/>
      <c r="L987" s="1"/>
      <c r="M987" s="1"/>
      <c r="N987" s="1"/>
      <c r="O987" s="1"/>
      <c r="P987" s="1"/>
      <c r="Q987" s="1"/>
      <c r="R987" s="1"/>
      <c r="S987" s="1"/>
      <c r="T987" s="1"/>
      <c r="U987" s="1"/>
      <c r="V987" s="1"/>
      <c r="W987" s="1"/>
      <c r="X987" s="1"/>
      <c r="Y987" s="1"/>
      <c r="Z987" s="1"/>
      <c r="AA987" s="1"/>
      <c r="AB987" s="1"/>
      <c r="AC987" s="1"/>
    </row>
    <row r="988" spans="1:29" ht="15.75" customHeight="1" x14ac:dyDescent="0.4">
      <c r="A988" s="28"/>
      <c r="B988" s="1"/>
      <c r="C988" s="1"/>
      <c r="D988" s="110"/>
      <c r="E988" s="1"/>
      <c r="F988" s="1"/>
      <c r="G988" s="1"/>
      <c r="H988" s="2"/>
      <c r="I988" s="2"/>
      <c r="J988" s="1"/>
      <c r="K988" s="1"/>
      <c r="L988" s="1"/>
      <c r="M988" s="1"/>
      <c r="N988" s="1"/>
      <c r="O988" s="1"/>
      <c r="P988" s="1"/>
      <c r="Q988" s="1"/>
      <c r="R988" s="1"/>
      <c r="S988" s="1"/>
      <c r="T988" s="1"/>
      <c r="U988" s="1"/>
      <c r="V988" s="1"/>
      <c r="W988" s="1"/>
      <c r="X988" s="1"/>
      <c r="Y988" s="1"/>
      <c r="Z988" s="1"/>
      <c r="AA988" s="1"/>
      <c r="AB988" s="1"/>
      <c r="AC988" s="1"/>
    </row>
    <row r="989" spans="1:29" ht="15.75" customHeight="1" x14ac:dyDescent="0.4">
      <c r="A989" s="28"/>
      <c r="B989" s="1"/>
      <c r="C989" s="1"/>
      <c r="D989" s="110"/>
      <c r="E989" s="1"/>
      <c r="F989" s="1"/>
      <c r="G989" s="1"/>
      <c r="H989" s="2"/>
      <c r="I989" s="2"/>
      <c r="J989" s="1"/>
      <c r="K989" s="1"/>
      <c r="L989" s="1"/>
      <c r="M989" s="1"/>
      <c r="N989" s="1"/>
      <c r="O989" s="1"/>
      <c r="P989" s="1"/>
      <c r="Q989" s="1"/>
      <c r="R989" s="1"/>
      <c r="S989" s="1"/>
      <c r="T989" s="1"/>
      <c r="U989" s="1"/>
      <c r="V989" s="1"/>
      <c r="W989" s="1"/>
      <c r="X989" s="1"/>
      <c r="Y989" s="1"/>
      <c r="Z989" s="1"/>
      <c r="AA989" s="1"/>
      <c r="AB989" s="1"/>
      <c r="AC989" s="1"/>
    </row>
    <row r="990" spans="1:29" ht="15.75" customHeight="1" x14ac:dyDescent="0.4">
      <c r="A990" s="28"/>
      <c r="B990" s="1"/>
      <c r="C990" s="1"/>
      <c r="D990" s="110"/>
      <c r="E990" s="1"/>
      <c r="F990" s="1"/>
      <c r="G990" s="1"/>
      <c r="H990" s="2"/>
      <c r="I990" s="2"/>
      <c r="J990" s="1"/>
      <c r="K990" s="1"/>
      <c r="L990" s="1"/>
      <c r="M990" s="1"/>
      <c r="N990" s="1"/>
      <c r="O990" s="1"/>
      <c r="P990" s="1"/>
      <c r="Q990" s="1"/>
      <c r="R990" s="1"/>
      <c r="S990" s="1"/>
      <c r="T990" s="1"/>
      <c r="U990" s="1"/>
      <c r="V990" s="1"/>
      <c r="W990" s="1"/>
      <c r="X990" s="1"/>
      <c r="Y990" s="1"/>
      <c r="Z990" s="1"/>
      <c r="AA990" s="1"/>
      <c r="AB990" s="1"/>
      <c r="AC990" s="1"/>
    </row>
    <row r="991" spans="1:29" ht="15.75" customHeight="1" x14ac:dyDescent="0.4">
      <c r="A991" s="28"/>
      <c r="B991" s="1"/>
      <c r="C991" s="1"/>
      <c r="D991" s="110"/>
      <c r="E991" s="1"/>
      <c r="F991" s="1"/>
      <c r="G991" s="1"/>
      <c r="H991" s="2"/>
      <c r="I991" s="2"/>
      <c r="J991" s="1"/>
      <c r="K991" s="1"/>
      <c r="L991" s="1"/>
      <c r="M991" s="1"/>
      <c r="N991" s="1"/>
      <c r="O991" s="1"/>
      <c r="P991" s="1"/>
      <c r="Q991" s="1"/>
      <c r="R991" s="1"/>
      <c r="S991" s="1"/>
      <c r="T991" s="1"/>
      <c r="U991" s="1"/>
      <c r="V991" s="1"/>
      <c r="W991" s="1"/>
      <c r="X991" s="1"/>
      <c r="Y991" s="1"/>
      <c r="Z991" s="1"/>
      <c r="AA991" s="1"/>
      <c r="AB991" s="1"/>
      <c r="AC991" s="1"/>
    </row>
    <row r="992" spans="1:29" ht="15.75" customHeight="1" x14ac:dyDescent="0.4">
      <c r="A992" s="28"/>
      <c r="B992" s="1"/>
      <c r="C992" s="1"/>
      <c r="D992" s="110"/>
      <c r="E992" s="1"/>
      <c r="F992" s="1"/>
      <c r="G992" s="1"/>
      <c r="H992" s="2"/>
      <c r="I992" s="2"/>
      <c r="J992" s="1"/>
      <c r="K992" s="1"/>
      <c r="L992" s="1"/>
      <c r="M992" s="1"/>
      <c r="N992" s="1"/>
      <c r="O992" s="1"/>
      <c r="P992" s="1"/>
      <c r="Q992" s="1"/>
      <c r="R992" s="1"/>
      <c r="S992" s="1"/>
      <c r="T992" s="1"/>
      <c r="U992" s="1"/>
      <c r="V992" s="1"/>
      <c r="W992" s="1"/>
      <c r="X992" s="1"/>
      <c r="Y992" s="1"/>
      <c r="Z992" s="1"/>
      <c r="AA992" s="1"/>
      <c r="AB992" s="1"/>
      <c r="AC992" s="1"/>
    </row>
    <row r="993" spans="1:29" ht="15.75" customHeight="1" x14ac:dyDescent="0.4">
      <c r="A993" s="28"/>
      <c r="B993" s="1"/>
      <c r="C993" s="1"/>
      <c r="D993" s="110"/>
      <c r="E993" s="1"/>
      <c r="F993" s="1"/>
      <c r="G993" s="1"/>
      <c r="H993" s="2"/>
      <c r="I993" s="2"/>
      <c r="J993" s="1"/>
      <c r="K993" s="1"/>
      <c r="L993" s="1"/>
      <c r="M993" s="1"/>
      <c r="N993" s="1"/>
      <c r="O993" s="1"/>
      <c r="P993" s="1"/>
      <c r="Q993" s="1"/>
      <c r="R993" s="1"/>
      <c r="S993" s="1"/>
      <c r="T993" s="1"/>
      <c r="U993" s="1"/>
      <c r="V993" s="1"/>
      <c r="W993" s="1"/>
      <c r="X993" s="1"/>
      <c r="Y993" s="1"/>
      <c r="Z993" s="1"/>
      <c r="AA993" s="1"/>
      <c r="AB993" s="1"/>
      <c r="AC993" s="1"/>
    </row>
    <row r="994" spans="1:29" ht="15.75" customHeight="1" x14ac:dyDescent="0.4">
      <c r="A994" s="28"/>
      <c r="B994" s="1"/>
      <c r="C994" s="1"/>
      <c r="D994" s="110"/>
      <c r="E994" s="1"/>
      <c r="F994" s="1"/>
      <c r="G994" s="1"/>
      <c r="H994" s="2"/>
      <c r="I994" s="2"/>
      <c r="J994" s="1"/>
      <c r="K994" s="1"/>
      <c r="L994" s="1"/>
      <c r="M994" s="1"/>
      <c r="N994" s="1"/>
      <c r="O994" s="1"/>
      <c r="P994" s="1"/>
      <c r="Q994" s="1"/>
      <c r="R994" s="1"/>
      <c r="S994" s="1"/>
      <c r="T994" s="1"/>
      <c r="U994" s="1"/>
      <c r="V994" s="1"/>
      <c r="W994" s="1"/>
      <c r="X994" s="1"/>
      <c r="Y994" s="1"/>
      <c r="Z994" s="1"/>
      <c r="AA994" s="1"/>
      <c r="AB994" s="1"/>
      <c r="AC994" s="1"/>
    </row>
    <row r="995" spans="1:29" ht="15.75" customHeight="1" x14ac:dyDescent="0.4">
      <c r="A995" s="28"/>
      <c r="B995" s="1"/>
      <c r="C995" s="1"/>
      <c r="D995" s="110"/>
      <c r="E995" s="1"/>
      <c r="F995" s="1"/>
      <c r="G995" s="1"/>
      <c r="H995" s="2"/>
      <c r="I995" s="2"/>
      <c r="J995" s="1"/>
      <c r="K995" s="1"/>
      <c r="L995" s="1"/>
      <c r="M995" s="1"/>
      <c r="N995" s="1"/>
      <c r="O995" s="1"/>
      <c r="P995" s="1"/>
      <c r="Q995" s="1"/>
      <c r="R995" s="1"/>
      <c r="S995" s="1"/>
      <c r="T995" s="1"/>
      <c r="U995" s="1"/>
      <c r="V995" s="1"/>
      <c r="W995" s="1"/>
      <c r="X995" s="1"/>
      <c r="Y995" s="1"/>
      <c r="Z995" s="1"/>
      <c r="AA995" s="1"/>
      <c r="AB995" s="1"/>
      <c r="AC995" s="1"/>
    </row>
    <row r="996" spans="1:29" ht="15.75" customHeight="1" x14ac:dyDescent="0.4">
      <c r="A996" s="28"/>
      <c r="B996" s="1"/>
      <c r="C996" s="1"/>
      <c r="D996" s="110"/>
      <c r="E996" s="1"/>
      <c r="F996" s="1"/>
      <c r="G996" s="1"/>
      <c r="H996" s="2"/>
      <c r="I996" s="2"/>
      <c r="J996" s="1"/>
      <c r="K996" s="1"/>
      <c r="L996" s="1"/>
      <c r="M996" s="1"/>
      <c r="N996" s="1"/>
      <c r="O996" s="1"/>
      <c r="P996" s="1"/>
      <c r="Q996" s="1"/>
      <c r="R996" s="1"/>
      <c r="S996" s="1"/>
      <c r="T996" s="1"/>
      <c r="U996" s="1"/>
      <c r="V996" s="1"/>
      <c r="W996" s="1"/>
      <c r="X996" s="1"/>
      <c r="Y996" s="1"/>
      <c r="Z996" s="1"/>
      <c r="AA996" s="1"/>
      <c r="AB996" s="1"/>
      <c r="AC996" s="1"/>
    </row>
    <row r="997" spans="1:29" ht="15.75" customHeight="1" x14ac:dyDescent="0.4">
      <c r="A997" s="28"/>
      <c r="B997" s="1"/>
      <c r="C997" s="1"/>
      <c r="D997" s="110"/>
      <c r="E997" s="1"/>
      <c r="F997" s="1"/>
      <c r="G997" s="1"/>
      <c r="H997" s="2"/>
      <c r="I997" s="2"/>
      <c r="J997" s="1"/>
      <c r="K997" s="1"/>
      <c r="L997" s="1"/>
      <c r="M997" s="1"/>
      <c r="N997" s="1"/>
      <c r="O997" s="1"/>
      <c r="P997" s="1"/>
      <c r="Q997" s="1"/>
      <c r="R997" s="1"/>
      <c r="S997" s="1"/>
      <c r="T997" s="1"/>
      <c r="U997" s="1"/>
      <c r="V997" s="1"/>
      <c r="W997" s="1"/>
      <c r="X997" s="1"/>
      <c r="Y997" s="1"/>
      <c r="Z997" s="1"/>
      <c r="AA997" s="1"/>
      <c r="AB997" s="1"/>
      <c r="AC997" s="1"/>
    </row>
    <row r="998" spans="1:29" ht="15.75" customHeight="1" x14ac:dyDescent="0.4">
      <c r="A998" s="28"/>
      <c r="B998" s="1"/>
      <c r="C998" s="1"/>
      <c r="D998" s="110"/>
      <c r="E998" s="1"/>
      <c r="F998" s="1"/>
      <c r="G998" s="1"/>
      <c r="H998" s="2"/>
      <c r="I998" s="2"/>
      <c r="J998" s="1"/>
      <c r="K998" s="1"/>
      <c r="L998" s="1"/>
      <c r="M998" s="1"/>
      <c r="N998" s="1"/>
      <c r="O998" s="1"/>
      <c r="P998" s="1"/>
      <c r="Q998" s="1"/>
      <c r="R998" s="1"/>
      <c r="S998" s="1"/>
      <c r="T998" s="1"/>
      <c r="U998" s="1"/>
      <c r="V998" s="1"/>
      <c r="W998" s="1"/>
      <c r="X998" s="1"/>
      <c r="Y998" s="1"/>
      <c r="Z998" s="1"/>
      <c r="AA998" s="1"/>
      <c r="AB998" s="1"/>
      <c r="AC998" s="1"/>
    </row>
    <row r="999" spans="1:29" ht="15.75" customHeight="1" x14ac:dyDescent="0.4">
      <c r="A999" s="28"/>
      <c r="B999" s="1"/>
      <c r="C999" s="1"/>
      <c r="D999" s="110"/>
      <c r="E999" s="1"/>
      <c r="F999" s="1"/>
      <c r="G999" s="1"/>
      <c r="H999" s="2"/>
      <c r="I999" s="2"/>
      <c r="J999" s="1"/>
      <c r="K999" s="1"/>
      <c r="L999" s="1"/>
      <c r="M999" s="1"/>
      <c r="N999" s="1"/>
      <c r="O999" s="1"/>
      <c r="P999" s="1"/>
      <c r="Q999" s="1"/>
      <c r="R999" s="1"/>
      <c r="S999" s="1"/>
      <c r="T999" s="1"/>
      <c r="U999" s="1"/>
      <c r="V999" s="1"/>
      <c r="W999" s="1"/>
      <c r="X999" s="1"/>
      <c r="Y999" s="1"/>
      <c r="Z999" s="1"/>
      <c r="AA999" s="1"/>
      <c r="AB999" s="1"/>
      <c r="AC999" s="1"/>
    </row>
    <row r="1000" spans="1:29" ht="15.75" customHeight="1" x14ac:dyDescent="0.4">
      <c r="A1000" s="28"/>
      <c r="B1000" s="1"/>
      <c r="C1000" s="1"/>
      <c r="D1000" s="110"/>
      <c r="E1000" s="1"/>
      <c r="F1000" s="1"/>
      <c r="G1000" s="1"/>
      <c r="H1000" s="2"/>
      <c r="I1000" s="2"/>
      <c r="J1000" s="1"/>
      <c r="K1000" s="1"/>
      <c r="L1000" s="1"/>
      <c r="M1000" s="1"/>
      <c r="N1000" s="1"/>
      <c r="O1000" s="1"/>
      <c r="P1000" s="1"/>
      <c r="Q1000" s="1"/>
      <c r="R1000" s="1"/>
      <c r="S1000" s="1"/>
      <c r="T1000" s="1"/>
      <c r="U1000" s="1"/>
      <c r="V1000" s="1"/>
      <c r="W1000" s="1"/>
      <c r="X1000" s="1"/>
      <c r="Y1000" s="1"/>
      <c r="Z1000" s="1"/>
      <c r="AA1000" s="1"/>
      <c r="AB1000" s="1"/>
      <c r="AC1000" s="1"/>
    </row>
    <row r="1001" spans="1:29" ht="15.75" customHeight="1" x14ac:dyDescent="0.4">
      <c r="A1001" s="28"/>
      <c r="B1001" s="1"/>
      <c r="C1001" s="1"/>
      <c r="D1001" s="110"/>
      <c r="E1001" s="1"/>
      <c r="F1001" s="1"/>
      <c r="G1001" s="1"/>
      <c r="H1001" s="2"/>
      <c r="I1001" s="2"/>
      <c r="J1001" s="1"/>
      <c r="K1001" s="1"/>
      <c r="L1001" s="1"/>
      <c r="M1001" s="1"/>
      <c r="N1001" s="1"/>
      <c r="O1001" s="1"/>
      <c r="P1001" s="1"/>
      <c r="Q1001" s="1"/>
      <c r="R1001" s="1"/>
      <c r="S1001" s="1"/>
      <c r="T1001" s="1"/>
      <c r="U1001" s="1"/>
      <c r="V1001" s="1"/>
      <c r="W1001" s="1"/>
      <c r="X1001" s="1"/>
      <c r="Y1001" s="1"/>
      <c r="Z1001" s="1"/>
      <c r="AA1001" s="1"/>
      <c r="AB1001" s="1"/>
      <c r="AC1001" s="1"/>
    </row>
  </sheetData>
  <autoFilter ref="B38:L65" xr:uid="{00000000-0009-0000-0000-000000000000}">
    <filterColumn colId="0">
      <customFilters>
        <customFilter operator="notEqual" val=" "/>
      </customFilters>
    </filterColumn>
  </autoFilter>
  <mergeCells count="4">
    <mergeCell ref="B2:C2"/>
    <mergeCell ref="B7:C7"/>
    <mergeCell ref="J38:L38"/>
    <mergeCell ref="B37:L37"/>
  </mergeCells>
  <conditionalFormatting sqref="C72:C93 C70">
    <cfRule type="dataBar" priority="3">
      <dataBar showValue="0">
        <cfvo type="min"/>
        <cfvo type="max"/>
        <color rgb="FF9999FF"/>
      </dataBar>
      <extLst>
        <ext xmlns:x14="http://schemas.microsoft.com/office/spreadsheetml/2009/9/main" uri="{B025F937-C7B1-47D3-B67F-A62EFF666E3E}">
          <x14:id>{4F58E08D-CF38-476A-AA44-688787E3D363}</x14:id>
        </ext>
      </extLst>
    </cfRule>
  </conditionalFormatting>
  <conditionalFormatting sqref="C39:C63">
    <cfRule type="dataBar" priority="2">
      <dataBar showValue="0">
        <cfvo type="min"/>
        <cfvo type="max"/>
        <color theme="6"/>
      </dataBar>
      <extLst>
        <ext xmlns:x14="http://schemas.microsoft.com/office/spreadsheetml/2009/9/main" uri="{B025F937-C7B1-47D3-B67F-A62EFF666E3E}">
          <x14:id>{79C6B6D1-7EF1-48E6-8DCC-B4C6CCC7E8B6}</x14:id>
        </ext>
      </extLst>
    </cfRule>
  </conditionalFormatting>
  <conditionalFormatting sqref="D39:D63">
    <cfRule type="iconSet" priority="1">
      <iconSet iconSet="3TrafficLights2" showValue="0" reverse="1">
        <cfvo type="percent" val="0"/>
        <cfvo type="num" val="$C$28*0.5"/>
        <cfvo type="num" val="$C$28"/>
      </iconSet>
    </cfRule>
  </conditionalFormatting>
  <dataValidations count="12">
    <dataValidation type="list" allowBlank="1" showInputMessage="1" showErrorMessage="1" sqref="C3:C6" xr:uid="{0ADBC14F-02E9-4E6B-BC8E-E976C88B1A43}">
      <formula1>$A$3:$A$4</formula1>
    </dataValidation>
    <dataValidation type="list" allowBlank="1" showErrorMessage="1" sqref="C15" xr:uid="{C049210E-ABBB-4B93-80AA-294E0AD9B229}">
      <formula1>$A$18:$A$19</formula1>
    </dataValidation>
    <dataValidation type="list" allowBlank="1" showErrorMessage="1" sqref="C8 C26 C16:C19 C13:C14" xr:uid="{99E8A35E-FD16-47AF-97C6-E119055F03D8}">
      <formula1>$A$8:$A$9</formula1>
    </dataValidation>
    <dataValidation type="list" allowBlank="1" showErrorMessage="1" sqref="C22" xr:uid="{2DDDE0BC-3A3F-4EC3-90FF-F82F26AA4E9E}">
      <formula1>$A$24:$A$25</formula1>
    </dataValidation>
    <dataValidation type="list" allowBlank="1" showErrorMessage="1" sqref="C10" xr:uid="{31D939F5-37EF-4AB1-89DA-AA463D555B65}">
      <formula1>$A$16:$A$17</formula1>
    </dataValidation>
    <dataValidation type="list" allowBlank="1" showErrorMessage="1" sqref="C20" xr:uid="{5F8D19E5-15E3-48DB-A266-2B6FB0D241B3}">
      <formula1>$A$20:$A$21</formula1>
    </dataValidation>
    <dataValidation type="list" allowBlank="1" showErrorMessage="1" sqref="C27" xr:uid="{4DBA8C1F-2B0A-4750-81BB-9F066C4837F9}">
      <formula1>$A$33:$A$34</formula1>
    </dataValidation>
    <dataValidation type="list" allowBlank="1" showErrorMessage="1" sqref="C23" xr:uid="{A8E7C82C-442D-43B7-B138-81703E1856BE}">
      <formula1>$A$26:$A$28</formula1>
    </dataValidation>
    <dataValidation type="list" allowBlank="1" showErrorMessage="1" sqref="C24" xr:uid="{6F253359-E127-42E4-A882-BEDBB8B169D0}">
      <formula1>$A$29:$A$30</formula1>
    </dataValidation>
    <dataValidation type="list" allowBlank="1" showErrorMessage="1" sqref="C25" xr:uid="{FD58904A-291A-4E28-8B74-3D8DD5D89512}">
      <formula1>$A$31:$A$32</formula1>
    </dataValidation>
    <dataValidation type="list" allowBlank="1" showErrorMessage="1" sqref="C21" xr:uid="{5A7A747D-A306-4E52-8E6E-B07ECBCE32B5}">
      <formula1>$A$22:$A$23</formula1>
    </dataValidation>
    <dataValidation type="list" allowBlank="1" showErrorMessage="1" sqref="C9" xr:uid="{452C87A5-5C37-4E72-93C4-E6541B3B9F0C}">
      <formula1>$A$10:$A$12</formula1>
    </dataValidation>
  </dataValidations>
  <hyperlinks>
    <hyperlink ref="G39" r:id="rId1" location="mosque" xr:uid="{48FC568E-E2FB-45BA-86F5-662D08B5534D}"/>
    <hyperlink ref="G40" r:id="rId2" xr:uid="{DAB3579D-44AF-4F12-9C80-D36824BEFC29}"/>
    <hyperlink ref="G41" r:id="rId3" xr:uid="{FD52C3E9-637B-422F-8DEF-9B64E94D40A8}"/>
    <hyperlink ref="G42" r:id="rId4" xr:uid="{0C4C12CA-011D-4224-B5BC-A4E3CC3DCB8D}"/>
    <hyperlink ref="G43" r:id="rId5" xr:uid="{79760729-3E11-417E-A611-90CF25C74A9E}"/>
    <hyperlink ref="G44" r:id="rId6" xr:uid="{9922CB28-3AC9-4461-8D1C-B6F8FE474805}"/>
    <hyperlink ref="G45" r:id="rId7" xr:uid="{D5B57FB0-FE50-48C3-AF26-8E8BC14646BF}"/>
    <hyperlink ref="G48" r:id="rId8" xr:uid="{0B87C7ED-A47A-4075-999D-81295B6F9DAA}"/>
    <hyperlink ref="G49" r:id="rId9" xr:uid="{6D702597-8909-4D41-8EA1-58043D502D69}"/>
    <hyperlink ref="G50" r:id="rId10" xr:uid="{570B5AA7-0ABF-4175-88CF-59F765EA808A}"/>
    <hyperlink ref="G51" r:id="rId11" xr:uid="{5AF97142-0214-4772-823B-B65F210623CB}"/>
    <hyperlink ref="G52" r:id="rId12" xr:uid="{8E8D2F39-17BD-4D7C-BC0A-7CCD5647EF00}"/>
    <hyperlink ref="G53" r:id="rId13" xr:uid="{B2BB3D72-76B3-4172-8C9E-04C42B73AE09}"/>
    <hyperlink ref="G54" r:id="rId14" xr:uid="{88C4DC6D-6D49-43A3-BD9E-E96FA5454E11}"/>
    <hyperlink ref="G55" r:id="rId15" xr:uid="{4BE87453-2BA9-4212-A3C7-BF1949BCA65B}"/>
    <hyperlink ref="G56" r:id="rId16" xr:uid="{99EE67C1-AABC-4A5E-BF6D-A9BA196005A3}"/>
    <hyperlink ref="G57" r:id="rId17" xr:uid="{75B1EEC9-4C58-4A48-BF22-2E463F69E209}"/>
    <hyperlink ref="G58" r:id="rId18" xr:uid="{D65CDB03-1448-4F76-99D4-4F57FB44D42D}"/>
    <hyperlink ref="G59" r:id="rId19" xr:uid="{A15874F1-0675-4316-8D0B-26EE0D26FF82}"/>
    <hyperlink ref="G60" r:id="rId20" location=":~:text=Blauw%2Dgroene%20daken%20hebben%20de,water%20bij%20de%20planten%20terecht." xr:uid="{BA385DE7-5D93-4FE4-9161-48D52CCD6096}"/>
    <hyperlink ref="G61" r:id="rId21" xr:uid="{536E7B9A-6892-466A-99F3-469B804C7D41}"/>
    <hyperlink ref="G62" r:id="rId22" xr:uid="{DED18A09-3222-4835-84D3-FD5BF9CD23F1}"/>
    <hyperlink ref="G63" r:id="rId23" xr:uid="{AFFA2243-57D2-4196-9334-F8605FB106DE}"/>
  </hyperlinks>
  <pageMargins left="0.7" right="0.7" top="0.75" bottom="0.75" header="0" footer="0"/>
  <pageSetup orientation="landscape" r:id="rId24"/>
  <drawing r:id="rId25"/>
  <legacyDrawing r:id="rId26"/>
  <mc:AlternateContent xmlns:mc="http://schemas.openxmlformats.org/markup-compatibility/2006">
    <mc:Choice Requires="x14">
      <controls>
        <mc:AlternateContent xmlns:mc="http://schemas.openxmlformats.org/markup-compatibility/2006">
          <mc:Choice Requires="x14">
            <control shapeId="3073" r:id="rId27" name="Button 1">
              <controlPr defaultSize="0" print="0" autoFill="0" autoPict="0" macro="[0]!DONE">
                <anchor moveWithCells="1" sizeWithCells="1">
                  <from>
                    <xdr:col>2</xdr:col>
                    <xdr:colOff>9525</xdr:colOff>
                    <xdr:row>28</xdr:row>
                    <xdr:rowOff>38100</xdr:rowOff>
                  </from>
                  <to>
                    <xdr:col>3</xdr:col>
                    <xdr:colOff>0</xdr:colOff>
                    <xdr:row>35</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F58E08D-CF38-476A-AA44-688787E3D363}">
            <x14:dataBar minLength="0" maxLength="100" gradient="0">
              <x14:cfvo type="autoMin"/>
              <x14:cfvo type="autoMax"/>
              <x14:negativeFillColor rgb="FFFF0000"/>
              <x14:axisColor rgb="FF000000"/>
            </x14:dataBar>
          </x14:cfRule>
          <xm:sqref>C72:C93 C70</xm:sqref>
        </x14:conditionalFormatting>
        <x14:conditionalFormatting xmlns:xm="http://schemas.microsoft.com/office/excel/2006/main">
          <x14:cfRule type="dataBar" id="{79C6B6D1-7EF1-48E6-8DCC-B4C6CCC7E8B6}">
            <x14:dataBar minLength="0" maxLength="100" gradient="0">
              <x14:cfvo type="autoMin"/>
              <x14:cfvo type="autoMax"/>
              <x14:negativeFillColor rgb="FFFF0000"/>
              <x14:axisColor rgb="FF000000"/>
            </x14:dataBar>
          </x14:cfRule>
          <xm:sqref>C39:C63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F0"/>
  </sheetPr>
  <dimension ref="A1:AK975"/>
  <sheetViews>
    <sheetView zoomScale="80" zoomScaleNormal="80" workbookViewId="0">
      <pane xSplit="2" ySplit="2" topLeftCell="C3" activePane="bottomRight" state="frozen"/>
      <selection pane="topRight" activeCell="C1" sqref="C1"/>
      <selection pane="bottomLeft" activeCell="A2" sqref="A2"/>
      <selection pane="bottomRight" activeCell="C3" sqref="C3"/>
    </sheetView>
  </sheetViews>
  <sheetFormatPr baseColWidth="10" defaultColWidth="14.42578125" defaultRowHeight="15" customHeight="1" x14ac:dyDescent="0.25"/>
  <cols>
    <col min="1" max="1" width="10.7109375" customWidth="1"/>
    <col min="2" max="3" width="46.140625" customWidth="1"/>
    <col min="4" max="4" width="15" customWidth="1"/>
    <col min="5" max="5" width="18.7109375" customWidth="1"/>
    <col min="6" max="6" width="15" customWidth="1"/>
    <col min="7" max="7" width="11.85546875" customWidth="1"/>
    <col min="8" max="8" width="16.140625" customWidth="1"/>
    <col min="9" max="9" width="13" customWidth="1"/>
    <col min="10" max="10" width="10.7109375" customWidth="1"/>
    <col min="11" max="12" width="25.42578125" customWidth="1"/>
    <col min="13" max="13" width="10.7109375" customWidth="1"/>
    <col min="14" max="14" width="12.42578125" customWidth="1"/>
    <col min="15" max="15" width="14.28515625" customWidth="1"/>
    <col min="16" max="16" width="10.7109375" customWidth="1"/>
    <col min="17" max="18" width="14" customWidth="1"/>
    <col min="19" max="19" width="10.7109375" customWidth="1"/>
    <col min="20" max="20" width="18.42578125" customWidth="1"/>
    <col min="21" max="24" width="20" customWidth="1"/>
    <col min="25" max="25" width="10.7109375" customWidth="1"/>
    <col min="26" max="26" width="20" customWidth="1"/>
    <col min="27" max="27" width="10.5703125" customWidth="1"/>
    <col min="28" max="28" width="12.42578125" customWidth="1"/>
    <col min="30" max="30" width="13" customWidth="1"/>
    <col min="31" max="31" width="10.5703125" customWidth="1"/>
    <col min="32" max="32" width="14.28515625" customWidth="1"/>
    <col min="33" max="33" width="10.85546875" customWidth="1"/>
    <col min="34" max="34" width="11" customWidth="1"/>
    <col min="35" max="35" width="9" customWidth="1"/>
    <col min="36" max="36" width="10.5703125" customWidth="1"/>
    <col min="37" max="37" width="13.140625" customWidth="1"/>
  </cols>
  <sheetData>
    <row r="1" spans="1:37" ht="28.5" customHeight="1" x14ac:dyDescent="0.25">
      <c r="B1" s="122" t="s">
        <v>228</v>
      </c>
      <c r="C1" s="71"/>
      <c r="D1" s="121" t="s">
        <v>235</v>
      </c>
      <c r="E1" s="121"/>
      <c r="F1" s="121"/>
      <c r="G1" s="121"/>
      <c r="H1" s="121"/>
      <c r="I1" s="121"/>
      <c r="J1" s="121"/>
      <c r="K1" s="121"/>
      <c r="L1" s="121"/>
      <c r="M1" s="121"/>
      <c r="N1" s="121"/>
      <c r="O1" s="121"/>
      <c r="P1" s="121"/>
      <c r="Q1" s="121"/>
      <c r="R1" s="121"/>
      <c r="S1" s="121"/>
      <c r="T1" s="121"/>
      <c r="U1" s="121"/>
      <c r="V1" s="124" t="s">
        <v>236</v>
      </c>
      <c r="W1" s="125"/>
      <c r="X1" s="125"/>
      <c r="Y1" s="125"/>
      <c r="Z1" s="125"/>
      <c r="AA1" s="125"/>
      <c r="AB1" s="125"/>
      <c r="AC1" s="125"/>
      <c r="AD1" s="125"/>
      <c r="AE1" s="125"/>
      <c r="AF1" s="125"/>
      <c r="AG1" s="126"/>
      <c r="AH1" s="124" t="s">
        <v>237</v>
      </c>
      <c r="AI1" s="125"/>
      <c r="AJ1" s="125"/>
      <c r="AK1" s="126"/>
    </row>
    <row r="2" spans="1:37" ht="44.25" customHeight="1" x14ac:dyDescent="0.25">
      <c r="A2" s="5"/>
      <c r="B2" s="123"/>
      <c r="C2" s="62" t="s">
        <v>239</v>
      </c>
      <c r="D2" s="72" t="s">
        <v>6</v>
      </c>
      <c r="E2" s="72" t="s">
        <v>8</v>
      </c>
      <c r="F2" s="72" t="s">
        <v>186</v>
      </c>
      <c r="G2" s="70" t="s">
        <v>187</v>
      </c>
      <c r="H2" s="70" t="s">
        <v>188</v>
      </c>
      <c r="I2" s="70" t="s">
        <v>189</v>
      </c>
      <c r="J2" s="70" t="s">
        <v>190</v>
      </c>
      <c r="K2" s="70" t="s">
        <v>18</v>
      </c>
      <c r="L2" s="70" t="s">
        <v>20</v>
      </c>
      <c r="M2" s="70" t="s">
        <v>191</v>
      </c>
      <c r="N2" s="70" t="s">
        <v>24</v>
      </c>
      <c r="O2" s="70" t="s">
        <v>192</v>
      </c>
      <c r="P2" s="70" t="s">
        <v>193</v>
      </c>
      <c r="Q2" s="70" t="s">
        <v>194</v>
      </c>
      <c r="R2" s="70" t="s">
        <v>195</v>
      </c>
      <c r="S2" s="70" t="s">
        <v>196</v>
      </c>
      <c r="T2" s="70" t="s">
        <v>36</v>
      </c>
      <c r="U2" s="70" t="s">
        <v>197</v>
      </c>
      <c r="V2" s="63" t="s">
        <v>46</v>
      </c>
      <c r="W2" s="64" t="s">
        <v>47</v>
      </c>
      <c r="X2" s="65" t="s">
        <v>284</v>
      </c>
      <c r="Y2" s="66" t="s">
        <v>283</v>
      </c>
      <c r="Z2" s="67" t="s">
        <v>285</v>
      </c>
      <c r="AA2" s="67" t="s">
        <v>283</v>
      </c>
      <c r="AB2" s="67" t="s">
        <v>264</v>
      </c>
      <c r="AC2" s="68" t="s">
        <v>48</v>
      </c>
      <c r="AD2" s="63" t="s">
        <v>1</v>
      </c>
      <c r="AE2" s="69" t="s">
        <v>2</v>
      </c>
      <c r="AF2" s="69" t="s">
        <v>181</v>
      </c>
      <c r="AG2" s="69" t="s">
        <v>229</v>
      </c>
      <c r="AH2" s="69" t="s">
        <v>182</v>
      </c>
      <c r="AI2" s="69" t="s">
        <v>183</v>
      </c>
      <c r="AJ2" s="69" t="s">
        <v>184</v>
      </c>
      <c r="AK2" s="69" t="s">
        <v>185</v>
      </c>
    </row>
    <row r="3" spans="1:37" x14ac:dyDescent="0.25">
      <c r="A3" s="7">
        <v>1</v>
      </c>
      <c r="B3" s="26" t="s">
        <v>198</v>
      </c>
      <c r="C3" s="32" t="s">
        <v>241</v>
      </c>
      <c r="D3" s="8" t="s">
        <v>5</v>
      </c>
      <c r="E3" s="8" t="s">
        <v>9</v>
      </c>
      <c r="F3" s="8" t="s">
        <v>7</v>
      </c>
      <c r="G3" s="8" t="s">
        <v>5</v>
      </c>
      <c r="H3" s="8" t="s">
        <v>7</v>
      </c>
      <c r="I3" s="8" t="s">
        <v>7</v>
      </c>
      <c r="J3" s="8" t="s">
        <v>7</v>
      </c>
      <c r="K3" s="8" t="s">
        <v>7</v>
      </c>
      <c r="L3" s="8" t="s">
        <v>7</v>
      </c>
      <c r="M3" s="8" t="s">
        <v>7</v>
      </c>
      <c r="N3" s="8" t="s">
        <v>199</v>
      </c>
      <c r="O3" s="8" t="s">
        <v>7</v>
      </c>
      <c r="P3" s="8" t="s">
        <v>199</v>
      </c>
      <c r="Q3" s="8" t="s">
        <v>200</v>
      </c>
      <c r="R3" s="8" t="s">
        <v>7</v>
      </c>
      <c r="S3" s="8" t="s">
        <v>199</v>
      </c>
      <c r="T3" s="8" t="s">
        <v>5</v>
      </c>
      <c r="U3" s="8" t="s">
        <v>5</v>
      </c>
      <c r="V3" s="4" t="s">
        <v>50</v>
      </c>
      <c r="W3" s="13" t="s">
        <v>51</v>
      </c>
      <c r="X3" s="27">
        <f>((800*1.5)/12/30)*(400/1000)</f>
        <v>1.3333333333333335</v>
      </c>
      <c r="Y3" s="36" t="s">
        <v>294</v>
      </c>
      <c r="Z3" s="34">
        <f>((23/12)*0.62*(1/30))/(400/1000)</f>
        <v>9.9027777777777784E-2</v>
      </c>
      <c r="AA3" s="36" t="s">
        <v>294</v>
      </c>
      <c r="AB3" s="21" t="s">
        <v>270</v>
      </c>
      <c r="AC3" s="15" t="s">
        <v>52</v>
      </c>
      <c r="AD3" s="8">
        <v>0</v>
      </c>
      <c r="AE3" s="8">
        <v>0</v>
      </c>
      <c r="AF3" s="8">
        <v>0</v>
      </c>
      <c r="AG3" s="9">
        <v>1</v>
      </c>
      <c r="AH3" s="9">
        <f>SUM(AD3:AF3)+2</f>
        <v>2</v>
      </c>
      <c r="AI3" s="9">
        <f>IF(AG3=1,3,0)</f>
        <v>3</v>
      </c>
      <c r="AJ3" s="9">
        <f>IF(Herramienta!D39&gt;Herramienta!$C$28,1,0)+IF(AND(Herramienta!D64&lt;Herramienta!$C$28,Herramienta!D39&gt;0),3,0)+IF(AND(Herramienta!C28&lt;(Herramienta!$C$28/2),Herramienta!D39&lt;Herramienta!C28),2,0)</f>
        <v>0</v>
      </c>
      <c r="AK3" s="10">
        <f>(AH3+AI3+AJ3)/11</f>
        <v>0.45454545454545453</v>
      </c>
    </row>
    <row r="4" spans="1:37" x14ac:dyDescent="0.25">
      <c r="A4" s="7">
        <v>2</v>
      </c>
      <c r="B4" s="26" t="s">
        <v>201</v>
      </c>
      <c r="C4" s="32" t="s">
        <v>242</v>
      </c>
      <c r="D4" s="8" t="s">
        <v>7</v>
      </c>
      <c r="E4" s="8" t="s">
        <v>12</v>
      </c>
      <c r="F4" s="8" t="s">
        <v>5</v>
      </c>
      <c r="G4" s="8" t="s">
        <v>7</v>
      </c>
      <c r="H4" s="8" t="s">
        <v>7</v>
      </c>
      <c r="I4" s="8" t="s">
        <v>7</v>
      </c>
      <c r="J4" s="8" t="s">
        <v>7</v>
      </c>
      <c r="K4" s="8" t="s">
        <v>7</v>
      </c>
      <c r="L4" s="8" t="s">
        <v>7</v>
      </c>
      <c r="M4" s="8" t="s">
        <v>7</v>
      </c>
      <c r="N4" s="8" t="s">
        <v>199</v>
      </c>
      <c r="O4" s="8" t="s">
        <v>7</v>
      </c>
      <c r="P4" s="8" t="s">
        <v>199</v>
      </c>
      <c r="Q4" s="8" t="s">
        <v>200</v>
      </c>
      <c r="R4" s="8" t="s">
        <v>7</v>
      </c>
      <c r="S4" s="8" t="s">
        <v>199</v>
      </c>
      <c r="T4" s="8" t="s">
        <v>5</v>
      </c>
      <c r="U4" s="8" t="s">
        <v>5</v>
      </c>
      <c r="V4" s="4" t="s">
        <v>56</v>
      </c>
      <c r="W4" s="13" t="s">
        <v>57</v>
      </c>
      <c r="X4" s="27">
        <f>((16.91*10^6)/12/30)/(0.25*60*60*24)</f>
        <v>2.1746399176954734</v>
      </c>
      <c r="Y4" s="44" t="s">
        <v>294</v>
      </c>
      <c r="Z4" s="36">
        <f>((1.6*10^6)/12/30)/(0.25*60*60*24)</f>
        <v>0.20576131687242799</v>
      </c>
      <c r="AA4" s="44" t="s">
        <v>294</v>
      </c>
      <c r="AB4" s="27" t="s">
        <v>271</v>
      </c>
      <c r="AC4" s="30" t="s">
        <v>58</v>
      </c>
      <c r="AD4" s="8">
        <v>0</v>
      </c>
      <c r="AE4" s="8">
        <v>0</v>
      </c>
      <c r="AF4" s="8">
        <v>1</v>
      </c>
      <c r="AG4" s="9">
        <v>1</v>
      </c>
      <c r="AH4" s="9">
        <f t="shared" ref="AH4:AH27" si="0">SUM(AD4:AF4)+2</f>
        <v>3</v>
      </c>
      <c r="AI4" s="9">
        <f t="shared" ref="AI4:AI27" si="1">IF(AG4=1,3,0)</f>
        <v>3</v>
      </c>
      <c r="AJ4" s="9">
        <f>IF(Herramienta!D40&gt;Herramienta!$C$28,1,0)+IF(AND(Herramienta!D65&lt;Herramienta!$C$28,Herramienta!D40&gt;0),3,0)+IF(AND(Herramienta!C29&lt;(Herramienta!$C$28/2),Herramienta!D40&lt;Herramienta!C29),2,0)</f>
        <v>0</v>
      </c>
      <c r="AK4" s="10">
        <f t="shared" ref="AK4:AK27" si="2">(AH4+AI4+AJ4)/11</f>
        <v>0.54545454545454541</v>
      </c>
    </row>
    <row r="5" spans="1:37" ht="17.25" customHeight="1" x14ac:dyDescent="0.25">
      <c r="A5" s="7">
        <v>3</v>
      </c>
      <c r="B5" s="26" t="s">
        <v>280</v>
      </c>
      <c r="C5" s="33" t="s">
        <v>281</v>
      </c>
      <c r="D5" s="8" t="s">
        <v>7</v>
      </c>
      <c r="E5" s="8" t="s">
        <v>12</v>
      </c>
      <c r="F5" s="8" t="s">
        <v>7</v>
      </c>
      <c r="G5" s="8" t="s">
        <v>5</v>
      </c>
      <c r="H5" s="8" t="s">
        <v>5</v>
      </c>
      <c r="I5" s="8" t="s">
        <v>5</v>
      </c>
      <c r="J5" s="8" t="s">
        <v>7</v>
      </c>
      <c r="K5" s="8" t="s">
        <v>5</v>
      </c>
      <c r="L5" s="8" t="s">
        <v>7</v>
      </c>
      <c r="M5" s="8" t="s">
        <v>7</v>
      </c>
      <c r="N5" s="8" t="s">
        <v>199</v>
      </c>
      <c r="O5" s="8" t="s">
        <v>7</v>
      </c>
      <c r="P5" s="8" t="s">
        <v>199</v>
      </c>
      <c r="Q5" s="8" t="s">
        <v>202</v>
      </c>
      <c r="R5" s="8" t="s">
        <v>7</v>
      </c>
      <c r="S5" s="8" t="s">
        <v>199</v>
      </c>
      <c r="T5" s="8" t="s">
        <v>7</v>
      </c>
      <c r="U5" s="8" t="s">
        <v>7</v>
      </c>
      <c r="V5" s="4" t="s">
        <v>62</v>
      </c>
      <c r="W5" s="13" t="s">
        <v>63</v>
      </c>
      <c r="X5" s="21">
        <v>75</v>
      </c>
      <c r="Y5" s="36" t="s">
        <v>293</v>
      </c>
      <c r="Z5" s="34">
        <v>0.75</v>
      </c>
      <c r="AA5" s="36" t="s">
        <v>293</v>
      </c>
      <c r="AB5" s="21" t="s">
        <v>265</v>
      </c>
      <c r="AC5" s="15" t="s">
        <v>64</v>
      </c>
      <c r="AD5" s="8">
        <v>1</v>
      </c>
      <c r="AE5" s="8">
        <v>1</v>
      </c>
      <c r="AF5" s="8">
        <v>1</v>
      </c>
      <c r="AG5" s="9">
        <v>0</v>
      </c>
      <c r="AH5" s="9">
        <f t="shared" si="0"/>
        <v>5</v>
      </c>
      <c r="AI5" s="9">
        <f t="shared" si="1"/>
        <v>0</v>
      </c>
      <c r="AJ5" s="9">
        <f>IF(Herramienta!D41&gt;Herramienta!$C$28,1,0)+IF(AND(Herramienta!D66&lt;Herramienta!$C$28,Herramienta!D41&gt;0),3,0)+IF(AND(Herramienta!C30&lt;(Herramienta!$C$28/2),Herramienta!D41&lt;Herramienta!C30),2,0)</f>
        <v>0</v>
      </c>
      <c r="AK5" s="10">
        <f>(AH5+AI5+AJ5)/11</f>
        <v>0.45454545454545453</v>
      </c>
    </row>
    <row r="6" spans="1:37" ht="15.75" customHeight="1" x14ac:dyDescent="0.25">
      <c r="A6" s="7">
        <v>4</v>
      </c>
      <c r="B6" s="26" t="s">
        <v>203</v>
      </c>
      <c r="C6" s="32" t="s">
        <v>240</v>
      </c>
      <c r="D6" s="8" t="s">
        <v>7</v>
      </c>
      <c r="E6" s="8" t="s">
        <v>204</v>
      </c>
      <c r="F6" s="8" t="s">
        <v>7</v>
      </c>
      <c r="G6" s="8" t="s">
        <v>7</v>
      </c>
      <c r="H6" s="8" t="s">
        <v>7</v>
      </c>
      <c r="I6" s="8" t="s">
        <v>5</v>
      </c>
      <c r="J6" s="8" t="s">
        <v>7</v>
      </c>
      <c r="K6" s="8" t="s">
        <v>5</v>
      </c>
      <c r="L6" s="8" t="s">
        <v>5</v>
      </c>
      <c r="M6" s="8" t="s">
        <v>7</v>
      </c>
      <c r="N6" s="8" t="s">
        <v>199</v>
      </c>
      <c r="O6" s="8" t="s">
        <v>7</v>
      </c>
      <c r="P6" s="8" t="s">
        <v>199</v>
      </c>
      <c r="Q6" s="8" t="s">
        <v>200</v>
      </c>
      <c r="R6" s="8" t="s">
        <v>7</v>
      </c>
      <c r="S6" s="8" t="s">
        <v>199</v>
      </c>
      <c r="T6" s="8" t="s">
        <v>7</v>
      </c>
      <c r="U6" s="8" t="s">
        <v>7</v>
      </c>
      <c r="V6" s="4" t="s">
        <v>68</v>
      </c>
      <c r="W6" s="13" t="s">
        <v>69</v>
      </c>
      <c r="X6" s="21">
        <v>222.5</v>
      </c>
      <c r="Y6" s="36" t="s">
        <v>293</v>
      </c>
      <c r="Z6" s="34">
        <v>7.1</v>
      </c>
      <c r="AA6" s="36" t="s">
        <v>293</v>
      </c>
      <c r="AB6" s="21" t="s">
        <v>265</v>
      </c>
      <c r="AC6" s="15" t="s">
        <v>70</v>
      </c>
      <c r="AD6" s="6">
        <v>0</v>
      </c>
      <c r="AE6" s="6">
        <v>0</v>
      </c>
      <c r="AF6" s="6">
        <v>1</v>
      </c>
      <c r="AG6" s="9">
        <v>0</v>
      </c>
      <c r="AH6" s="9">
        <f t="shared" si="0"/>
        <v>3</v>
      </c>
      <c r="AI6" s="9">
        <f>IF(AG6=1,3,0)</f>
        <v>0</v>
      </c>
      <c r="AJ6" s="9">
        <f>IF(Herramienta!D42&gt;Herramienta!$C$28,1,0)+IF(AND(Herramienta!D67&lt;Herramienta!$C$28,Herramienta!D42&gt;0),3,0)+IF(AND(Herramienta!C31&lt;(Herramienta!$C$28/2),Herramienta!D42&lt;Herramienta!C31),2,0)</f>
        <v>0</v>
      </c>
      <c r="AK6" s="10">
        <f t="shared" si="2"/>
        <v>0.27272727272727271</v>
      </c>
    </row>
    <row r="7" spans="1:37" ht="16.5" customHeight="1" x14ac:dyDescent="0.25">
      <c r="A7" s="7">
        <v>5</v>
      </c>
      <c r="B7" s="26" t="s">
        <v>205</v>
      </c>
      <c r="C7" s="32" t="s">
        <v>248</v>
      </c>
      <c r="D7" s="8" t="s">
        <v>7</v>
      </c>
      <c r="E7" s="8" t="s">
        <v>204</v>
      </c>
      <c r="F7" s="8" t="s">
        <v>7</v>
      </c>
      <c r="G7" s="8" t="s">
        <v>7</v>
      </c>
      <c r="H7" s="8" t="s">
        <v>7</v>
      </c>
      <c r="I7" s="8" t="s">
        <v>5</v>
      </c>
      <c r="J7" s="8" t="s">
        <v>5</v>
      </c>
      <c r="K7" s="8" t="s">
        <v>5</v>
      </c>
      <c r="L7" s="8" t="s">
        <v>5</v>
      </c>
      <c r="M7" s="8" t="s">
        <v>7</v>
      </c>
      <c r="N7" s="8" t="s">
        <v>199</v>
      </c>
      <c r="O7" s="8" t="s">
        <v>7</v>
      </c>
      <c r="P7" s="8" t="s">
        <v>199</v>
      </c>
      <c r="Q7" s="8" t="s">
        <v>200</v>
      </c>
      <c r="R7" s="8" t="s">
        <v>7</v>
      </c>
      <c r="S7" s="8" t="s">
        <v>199</v>
      </c>
      <c r="T7" s="8" t="s">
        <v>7</v>
      </c>
      <c r="U7" s="8" t="s">
        <v>7</v>
      </c>
      <c r="V7" s="4" t="s">
        <v>74</v>
      </c>
      <c r="W7" s="13" t="s">
        <v>75</v>
      </c>
      <c r="X7" s="21">
        <v>100</v>
      </c>
      <c r="Y7" s="36" t="s">
        <v>293</v>
      </c>
      <c r="Z7" s="34">
        <v>0.2</v>
      </c>
      <c r="AA7" s="36" t="s">
        <v>293</v>
      </c>
      <c r="AB7" s="21" t="s">
        <v>265</v>
      </c>
      <c r="AC7" s="15" t="s">
        <v>76</v>
      </c>
      <c r="AD7" s="6">
        <v>1</v>
      </c>
      <c r="AE7" s="6">
        <v>1</v>
      </c>
      <c r="AF7" s="6">
        <v>1</v>
      </c>
      <c r="AG7" s="9">
        <v>1</v>
      </c>
      <c r="AH7" s="9">
        <f t="shared" si="0"/>
        <v>5</v>
      </c>
      <c r="AI7" s="9">
        <f t="shared" si="1"/>
        <v>3</v>
      </c>
      <c r="AJ7" s="9">
        <f>IF(Herramienta!D43&gt;Herramienta!$C$28,1,0)+IF(AND(Herramienta!D68&lt;Herramienta!$C$28,Herramienta!D43&gt;0),3,0)+IF(AND(Herramienta!C32&lt;(Herramienta!$C$28/2),Herramienta!D43&lt;Herramienta!C32),2,0)</f>
        <v>0</v>
      </c>
      <c r="AK7" s="10">
        <f t="shared" si="2"/>
        <v>0.72727272727272729</v>
      </c>
    </row>
    <row r="8" spans="1:37" x14ac:dyDescent="0.25">
      <c r="A8" s="7">
        <v>6</v>
      </c>
      <c r="B8" s="26" t="s">
        <v>206</v>
      </c>
      <c r="C8" s="32" t="s">
        <v>243</v>
      </c>
      <c r="D8" s="8" t="s">
        <v>7</v>
      </c>
      <c r="E8" s="8" t="s">
        <v>9</v>
      </c>
      <c r="F8" s="8" t="s">
        <v>7</v>
      </c>
      <c r="G8" s="8" t="s">
        <v>5</v>
      </c>
      <c r="H8" s="8" t="s">
        <v>7</v>
      </c>
      <c r="I8" s="8" t="s">
        <v>7</v>
      </c>
      <c r="J8" s="8" t="s">
        <v>5</v>
      </c>
      <c r="K8" s="8" t="s">
        <v>5</v>
      </c>
      <c r="L8" s="8" t="s">
        <v>5</v>
      </c>
      <c r="M8" s="8" t="s">
        <v>7</v>
      </c>
      <c r="N8" s="8" t="s">
        <v>199</v>
      </c>
      <c r="O8" s="8" t="s">
        <v>7</v>
      </c>
      <c r="P8" s="8" t="s">
        <v>199</v>
      </c>
      <c r="Q8" s="8" t="s">
        <v>200</v>
      </c>
      <c r="R8" s="8" t="s">
        <v>7</v>
      </c>
      <c r="S8" s="8" t="s">
        <v>199</v>
      </c>
      <c r="T8" s="8" t="s">
        <v>7</v>
      </c>
      <c r="U8" s="8" t="s">
        <v>7</v>
      </c>
      <c r="V8" s="4" t="s">
        <v>68</v>
      </c>
      <c r="W8" s="13" t="s">
        <v>80</v>
      </c>
      <c r="X8" s="29">
        <v>4125</v>
      </c>
      <c r="Y8" s="36" t="s">
        <v>293</v>
      </c>
      <c r="Z8" s="35">
        <v>1.8</v>
      </c>
      <c r="AA8" s="36" t="s">
        <v>293</v>
      </c>
      <c r="AB8" s="21" t="s">
        <v>265</v>
      </c>
      <c r="AC8" s="15" t="s">
        <v>81</v>
      </c>
      <c r="AD8" s="8">
        <v>0</v>
      </c>
      <c r="AE8" s="8">
        <v>1</v>
      </c>
      <c r="AF8" s="8">
        <v>1</v>
      </c>
      <c r="AG8" s="9">
        <v>1</v>
      </c>
      <c r="AH8" s="9">
        <f t="shared" si="0"/>
        <v>4</v>
      </c>
      <c r="AI8" s="9">
        <f t="shared" si="1"/>
        <v>3</v>
      </c>
      <c r="AJ8" s="9">
        <f>IF(Herramienta!D44&gt;Herramienta!$C$28,1,0)+IF(AND(Herramienta!D69&lt;Herramienta!$C$28,Herramienta!D44&gt;0),3,0)+IF(AND(Herramienta!C33&lt;(Herramienta!$C$28/2),Herramienta!D44&lt;Herramienta!C33),2,0)</f>
        <v>0</v>
      </c>
      <c r="AK8" s="10">
        <f t="shared" si="2"/>
        <v>0.63636363636363635</v>
      </c>
    </row>
    <row r="9" spans="1:37" x14ac:dyDescent="0.25">
      <c r="A9" s="7">
        <v>7</v>
      </c>
      <c r="B9" s="26" t="s">
        <v>207</v>
      </c>
      <c r="C9" s="32" t="s">
        <v>244</v>
      </c>
      <c r="D9" s="8" t="s">
        <v>7</v>
      </c>
      <c r="E9" s="8" t="s">
        <v>9</v>
      </c>
      <c r="F9" s="8" t="s">
        <v>7</v>
      </c>
      <c r="G9" s="8" t="s">
        <v>5</v>
      </c>
      <c r="H9" s="8" t="s">
        <v>7</v>
      </c>
      <c r="I9" s="8" t="s">
        <v>7</v>
      </c>
      <c r="J9" s="8" t="s">
        <v>7</v>
      </c>
      <c r="K9" s="8" t="s">
        <v>5</v>
      </c>
      <c r="L9" s="8" t="s">
        <v>5</v>
      </c>
      <c r="M9" s="8" t="s">
        <v>7</v>
      </c>
      <c r="N9" s="8" t="s">
        <v>199</v>
      </c>
      <c r="O9" s="8" t="s">
        <v>7</v>
      </c>
      <c r="P9" s="8" t="s">
        <v>199</v>
      </c>
      <c r="Q9" s="8" t="s">
        <v>200</v>
      </c>
      <c r="R9" s="8" t="s">
        <v>7</v>
      </c>
      <c r="S9" s="8" t="s">
        <v>199</v>
      </c>
      <c r="T9" s="8" t="s">
        <v>7</v>
      </c>
      <c r="U9" s="8" t="s">
        <v>7</v>
      </c>
      <c r="V9" s="4" t="s">
        <v>82</v>
      </c>
      <c r="W9" s="13" t="s">
        <v>83</v>
      </c>
      <c r="X9" s="21">
        <f>6186.7/64</f>
        <v>96.667187499999997</v>
      </c>
      <c r="Y9" s="36" t="s">
        <v>293</v>
      </c>
      <c r="Z9" s="34">
        <v>7.1</v>
      </c>
      <c r="AA9" s="36" t="s">
        <v>293</v>
      </c>
      <c r="AB9" s="21" t="s">
        <v>277</v>
      </c>
      <c r="AC9" s="16" t="s">
        <v>84</v>
      </c>
      <c r="AD9" s="8">
        <v>0</v>
      </c>
      <c r="AE9" s="8">
        <v>0</v>
      </c>
      <c r="AF9" s="8">
        <v>1</v>
      </c>
      <c r="AG9" s="9">
        <v>1</v>
      </c>
      <c r="AH9" s="9">
        <f t="shared" si="0"/>
        <v>3</v>
      </c>
      <c r="AI9" s="9">
        <f t="shared" si="1"/>
        <v>3</v>
      </c>
      <c r="AJ9" s="9">
        <f>IF(Herramienta!D45&gt;Herramienta!$C$28,1,0)+IF(AND(Herramienta!D70&lt;Herramienta!$C$28,Herramienta!D45&gt;0),3,0)+IF(AND(Herramienta!C34&lt;(Herramienta!$C$28/2),Herramienta!D45&lt;Herramienta!C34),2,0)</f>
        <v>0</v>
      </c>
      <c r="AK9" s="10">
        <f t="shared" si="2"/>
        <v>0.54545454545454541</v>
      </c>
    </row>
    <row r="10" spans="1:37" x14ac:dyDescent="0.25">
      <c r="A10" s="7">
        <v>8</v>
      </c>
      <c r="B10" s="26" t="s">
        <v>208</v>
      </c>
      <c r="C10" s="32" t="s">
        <v>247</v>
      </c>
      <c r="D10" s="8" t="s">
        <v>7</v>
      </c>
      <c r="E10" s="8" t="s">
        <v>209</v>
      </c>
      <c r="F10" s="8" t="s">
        <v>5</v>
      </c>
      <c r="G10" s="8" t="s">
        <v>7</v>
      </c>
      <c r="H10" s="8" t="s">
        <v>7</v>
      </c>
      <c r="I10" s="8" t="s">
        <v>7</v>
      </c>
      <c r="J10" s="8" t="s">
        <v>7</v>
      </c>
      <c r="K10" s="8" t="s">
        <v>7</v>
      </c>
      <c r="L10" s="8" t="s">
        <v>7</v>
      </c>
      <c r="M10" s="8" t="s">
        <v>5</v>
      </c>
      <c r="N10" s="8" t="s">
        <v>210</v>
      </c>
      <c r="O10" s="8" t="s">
        <v>7</v>
      </c>
      <c r="P10" s="8" t="s">
        <v>199</v>
      </c>
      <c r="Q10" s="8" t="s">
        <v>202</v>
      </c>
      <c r="R10" s="8" t="s">
        <v>7</v>
      </c>
      <c r="S10" s="8" t="s">
        <v>199</v>
      </c>
      <c r="T10" s="8" t="s">
        <v>7</v>
      </c>
      <c r="U10" s="8" t="s">
        <v>7</v>
      </c>
      <c r="V10" s="4" t="s">
        <v>86</v>
      </c>
      <c r="W10" s="13" t="s">
        <v>87</v>
      </c>
      <c r="X10" s="305">
        <v>40</v>
      </c>
      <c r="Y10" s="306" t="s">
        <v>295</v>
      </c>
      <c r="Z10" s="307" t="s">
        <v>238</v>
      </c>
      <c r="AA10" s="307"/>
      <c r="AB10" s="305" t="s">
        <v>278</v>
      </c>
      <c r="AC10" s="17" t="s">
        <v>88</v>
      </c>
      <c r="AD10" s="8">
        <v>0</v>
      </c>
      <c r="AE10" s="8">
        <v>0</v>
      </c>
      <c r="AF10" s="8">
        <v>0</v>
      </c>
      <c r="AG10" s="9">
        <v>1</v>
      </c>
      <c r="AH10" s="9">
        <f t="shared" si="0"/>
        <v>2</v>
      </c>
      <c r="AI10" s="9">
        <f t="shared" si="1"/>
        <v>3</v>
      </c>
      <c r="AJ10" s="9">
        <f>IF(Herramienta!D46&gt;Herramienta!$C$28,1,0)+IF(AND(Herramienta!D71&lt;Herramienta!$C$28,Herramienta!D46&gt;0),3,0)+IF(AND(Herramienta!C35&lt;(Herramienta!$C$28/2),Herramienta!D46&lt;Herramienta!C35),2,0)</f>
        <v>0</v>
      </c>
      <c r="AK10" s="10">
        <f t="shared" si="2"/>
        <v>0.45454545454545453</v>
      </c>
    </row>
    <row r="11" spans="1:37" x14ac:dyDescent="0.25">
      <c r="A11" s="7">
        <v>9</v>
      </c>
      <c r="B11" s="26" t="s">
        <v>211</v>
      </c>
      <c r="C11" s="32" t="s">
        <v>246</v>
      </c>
      <c r="D11" s="8" t="s">
        <v>7</v>
      </c>
      <c r="E11" s="8" t="s">
        <v>209</v>
      </c>
      <c r="F11" s="8" t="s">
        <v>5</v>
      </c>
      <c r="G11" s="8" t="s">
        <v>7</v>
      </c>
      <c r="H11" s="8" t="s">
        <v>7</v>
      </c>
      <c r="I11" s="8" t="s">
        <v>7</v>
      </c>
      <c r="J11" s="8" t="s">
        <v>7</v>
      </c>
      <c r="K11" s="8" t="s">
        <v>7</v>
      </c>
      <c r="L11" s="8" t="s">
        <v>7</v>
      </c>
      <c r="M11" s="8" t="s">
        <v>5</v>
      </c>
      <c r="N11" s="8" t="s">
        <v>212</v>
      </c>
      <c r="O11" s="8" t="s">
        <v>7</v>
      </c>
      <c r="P11" s="8" t="s">
        <v>199</v>
      </c>
      <c r="Q11" s="8" t="s">
        <v>35</v>
      </c>
      <c r="R11" s="8" t="s">
        <v>7</v>
      </c>
      <c r="S11" s="8" t="s">
        <v>199</v>
      </c>
      <c r="T11" s="8" t="s">
        <v>7</v>
      </c>
      <c r="U11" s="8" t="s">
        <v>7</v>
      </c>
      <c r="V11" s="4" t="s">
        <v>92</v>
      </c>
      <c r="W11" s="13" t="s">
        <v>93</v>
      </c>
      <c r="X11" s="305">
        <v>80</v>
      </c>
      <c r="Y11" s="306" t="s">
        <v>295</v>
      </c>
      <c r="Z11" s="307" t="s">
        <v>238</v>
      </c>
      <c r="AA11" s="307"/>
      <c r="AB11" s="305" t="s">
        <v>278</v>
      </c>
      <c r="AC11" s="17" t="s">
        <v>88</v>
      </c>
      <c r="AD11" s="8">
        <v>0</v>
      </c>
      <c r="AE11" s="8">
        <v>0</v>
      </c>
      <c r="AF11" s="8">
        <v>0</v>
      </c>
      <c r="AG11" s="9">
        <v>1</v>
      </c>
      <c r="AH11" s="9">
        <f t="shared" si="0"/>
        <v>2</v>
      </c>
      <c r="AI11" s="9">
        <f t="shared" si="1"/>
        <v>3</v>
      </c>
      <c r="AJ11" s="9">
        <f>IF(Herramienta!D47&gt;Herramienta!$C$28,1,0)+IF(AND(Herramienta!D72&lt;Herramienta!$C$28,Herramienta!D47&gt;0),3,0)+IF(AND(Herramienta!C36&lt;(Herramienta!$C$28/2),Herramienta!D47&lt;Herramienta!C36),2,0)</f>
        <v>0</v>
      </c>
      <c r="AK11" s="10">
        <f t="shared" si="2"/>
        <v>0.45454545454545453</v>
      </c>
    </row>
    <row r="12" spans="1:37" x14ac:dyDescent="0.25">
      <c r="A12" s="7">
        <v>10</v>
      </c>
      <c r="B12" s="26" t="s">
        <v>213</v>
      </c>
      <c r="C12" s="32" t="s">
        <v>249</v>
      </c>
      <c r="D12" s="8" t="s">
        <v>7</v>
      </c>
      <c r="E12" s="8" t="s">
        <v>209</v>
      </c>
      <c r="F12" s="8" t="s">
        <v>7</v>
      </c>
      <c r="G12" s="8" t="s">
        <v>7</v>
      </c>
      <c r="H12" s="8" t="s">
        <v>5</v>
      </c>
      <c r="I12" s="8" t="s">
        <v>7</v>
      </c>
      <c r="J12" s="8" t="s">
        <v>7</v>
      </c>
      <c r="K12" s="8" t="s">
        <v>7</v>
      </c>
      <c r="L12" s="8" t="s">
        <v>7</v>
      </c>
      <c r="M12" s="8" t="s">
        <v>7</v>
      </c>
      <c r="N12" s="8" t="s">
        <v>199</v>
      </c>
      <c r="O12" s="8" t="s">
        <v>7</v>
      </c>
      <c r="P12" s="8" t="s">
        <v>199</v>
      </c>
      <c r="Q12" s="8" t="s">
        <v>200</v>
      </c>
      <c r="R12" s="8" t="s">
        <v>5</v>
      </c>
      <c r="S12" s="8" t="s">
        <v>5</v>
      </c>
      <c r="T12" s="8" t="s">
        <v>7</v>
      </c>
      <c r="U12" s="8" t="s">
        <v>7</v>
      </c>
      <c r="V12" s="4" t="s">
        <v>94</v>
      </c>
      <c r="W12" s="13" t="s">
        <v>95</v>
      </c>
      <c r="X12" s="305">
        <v>2.29</v>
      </c>
      <c r="Y12" s="307" t="s">
        <v>294</v>
      </c>
      <c r="Z12" s="307">
        <v>3.89</v>
      </c>
      <c r="AA12" s="307" t="s">
        <v>287</v>
      </c>
      <c r="AB12" s="305" t="s">
        <v>292</v>
      </c>
      <c r="AC12" s="15" t="s">
        <v>96</v>
      </c>
      <c r="AD12" s="8">
        <v>0</v>
      </c>
      <c r="AE12" s="8">
        <v>0</v>
      </c>
      <c r="AF12" s="8">
        <v>1</v>
      </c>
      <c r="AG12" s="9">
        <v>1</v>
      </c>
      <c r="AH12" s="9">
        <f t="shared" si="0"/>
        <v>3</v>
      </c>
      <c r="AI12" s="9">
        <f t="shared" si="1"/>
        <v>3</v>
      </c>
      <c r="AJ12" s="9">
        <f>IF(Herramienta!D48&gt;Herramienta!$C$28,1,0)+IF(AND(Herramienta!D73&lt;Herramienta!$C$28,Herramienta!D48&gt;0),3,0)+IF(AND(Herramienta!C37&lt;(Herramienta!$C$28/2),Herramienta!D48&lt;Herramienta!C37),2,0)</f>
        <v>0</v>
      </c>
      <c r="AK12" s="10">
        <f t="shared" si="2"/>
        <v>0.54545454545454541</v>
      </c>
    </row>
    <row r="13" spans="1:37" x14ac:dyDescent="0.25">
      <c r="A13" s="7">
        <v>11</v>
      </c>
      <c r="B13" s="26" t="s">
        <v>214</v>
      </c>
      <c r="C13" s="32" t="s">
        <v>250</v>
      </c>
      <c r="D13" s="8" t="s">
        <v>7</v>
      </c>
      <c r="E13" s="8" t="s">
        <v>215</v>
      </c>
      <c r="F13" s="8" t="s">
        <v>5</v>
      </c>
      <c r="G13" s="8" t="s">
        <v>5</v>
      </c>
      <c r="H13" s="8" t="s">
        <v>5</v>
      </c>
      <c r="I13" s="8" t="s">
        <v>7</v>
      </c>
      <c r="J13" s="8" t="s">
        <v>7</v>
      </c>
      <c r="K13" s="8" t="s">
        <v>7</v>
      </c>
      <c r="L13" s="8" t="s">
        <v>7</v>
      </c>
      <c r="M13" s="8" t="s">
        <v>7</v>
      </c>
      <c r="N13" s="8" t="s">
        <v>199</v>
      </c>
      <c r="O13" s="8" t="s">
        <v>7</v>
      </c>
      <c r="P13" s="8" t="s">
        <v>199</v>
      </c>
      <c r="Q13" s="8" t="s">
        <v>200</v>
      </c>
      <c r="R13" s="8" t="s">
        <v>7</v>
      </c>
      <c r="S13" s="8" t="s">
        <v>199</v>
      </c>
      <c r="T13" s="8" t="s">
        <v>7</v>
      </c>
      <c r="U13" s="8" t="s">
        <v>7</v>
      </c>
      <c r="V13" s="4" t="s">
        <v>100</v>
      </c>
      <c r="W13" s="13" t="s">
        <v>101</v>
      </c>
      <c r="X13" s="305">
        <v>7.5</v>
      </c>
      <c r="Y13" s="306" t="s">
        <v>293</v>
      </c>
      <c r="Z13" s="307">
        <v>0</v>
      </c>
      <c r="AA13" s="306" t="s">
        <v>293</v>
      </c>
      <c r="AB13" s="305" t="s">
        <v>265</v>
      </c>
      <c r="AC13" s="15" t="s">
        <v>102</v>
      </c>
      <c r="AD13" s="8">
        <v>1</v>
      </c>
      <c r="AE13" s="8">
        <v>1</v>
      </c>
      <c r="AF13" s="8">
        <v>0</v>
      </c>
      <c r="AG13" s="9">
        <v>1</v>
      </c>
      <c r="AH13" s="9">
        <f t="shared" si="0"/>
        <v>4</v>
      </c>
      <c r="AI13" s="9">
        <f t="shared" si="1"/>
        <v>3</v>
      </c>
      <c r="AJ13" s="9">
        <f>IF(Herramienta!D49&gt;Herramienta!$C$28,1,0)+IF(AND(Herramienta!D74&lt;Herramienta!$C$28,Herramienta!D49&gt;0),3,0)+IF(AND(Herramienta!C38&lt;(Herramienta!$C$28/2),Herramienta!D49&lt;Herramienta!C38),2,0)</f>
        <v>3</v>
      </c>
      <c r="AK13" s="10">
        <f t="shared" si="2"/>
        <v>0.90909090909090906</v>
      </c>
    </row>
    <row r="14" spans="1:37" x14ac:dyDescent="0.25">
      <c r="A14" s="7">
        <v>12</v>
      </c>
      <c r="B14" s="26" t="s">
        <v>216</v>
      </c>
      <c r="C14" s="32" t="s">
        <v>251</v>
      </c>
      <c r="D14" s="8" t="s">
        <v>7</v>
      </c>
      <c r="E14" s="8" t="s">
        <v>215</v>
      </c>
      <c r="F14" s="8" t="s">
        <v>7</v>
      </c>
      <c r="G14" s="8" t="s">
        <v>5</v>
      </c>
      <c r="H14" s="8" t="s">
        <v>5</v>
      </c>
      <c r="I14" s="8" t="s">
        <v>7</v>
      </c>
      <c r="J14" s="8" t="s">
        <v>7</v>
      </c>
      <c r="K14" s="8" t="s">
        <v>7</v>
      </c>
      <c r="L14" s="8" t="s">
        <v>7</v>
      </c>
      <c r="M14" s="8" t="s">
        <v>7</v>
      </c>
      <c r="N14" s="8" t="s">
        <v>199</v>
      </c>
      <c r="O14" s="8" t="s">
        <v>7</v>
      </c>
      <c r="P14" s="8" t="s">
        <v>199</v>
      </c>
      <c r="Q14" s="8" t="s">
        <v>200</v>
      </c>
      <c r="R14" s="8" t="s">
        <v>7</v>
      </c>
      <c r="S14" s="8" t="s">
        <v>199</v>
      </c>
      <c r="T14" s="8" t="s">
        <v>7</v>
      </c>
      <c r="U14" s="8" t="s">
        <v>7</v>
      </c>
      <c r="V14" s="4" t="s">
        <v>106</v>
      </c>
      <c r="W14" s="13" t="s">
        <v>107</v>
      </c>
      <c r="X14" s="305">
        <v>27.5</v>
      </c>
      <c r="Y14" s="306" t="s">
        <v>293</v>
      </c>
      <c r="Z14" s="307">
        <v>0</v>
      </c>
      <c r="AA14" s="306" t="s">
        <v>293</v>
      </c>
      <c r="AB14" s="305" t="s">
        <v>265</v>
      </c>
      <c r="AC14" s="15" t="s">
        <v>108</v>
      </c>
      <c r="AD14" s="6">
        <v>1</v>
      </c>
      <c r="AE14" s="6">
        <v>1</v>
      </c>
      <c r="AF14" s="6">
        <v>1</v>
      </c>
      <c r="AG14" s="11">
        <v>1</v>
      </c>
      <c r="AH14" s="9">
        <f t="shared" si="0"/>
        <v>5</v>
      </c>
      <c r="AI14" s="9">
        <f t="shared" si="1"/>
        <v>3</v>
      </c>
      <c r="AJ14" s="9">
        <f>IF(Herramienta!D50&gt;Herramienta!$C$28,1,0)+IF(AND(Herramienta!D75&lt;Herramienta!$C$28,Herramienta!D50&gt;0),3,0)+IF(AND(Herramienta!C39&lt;(Herramienta!$C$28/2),Herramienta!D50&lt;Herramienta!C39),2,0)</f>
        <v>3</v>
      </c>
      <c r="AK14" s="10">
        <f t="shared" si="2"/>
        <v>1</v>
      </c>
    </row>
    <row r="15" spans="1:37" x14ac:dyDescent="0.25">
      <c r="A15" s="7">
        <v>13</v>
      </c>
      <c r="B15" s="26" t="s">
        <v>217</v>
      </c>
      <c r="C15" s="32" t="s">
        <v>245</v>
      </c>
      <c r="D15" s="8" t="s">
        <v>7</v>
      </c>
      <c r="E15" s="8" t="s">
        <v>215</v>
      </c>
      <c r="F15" s="8" t="s">
        <v>7</v>
      </c>
      <c r="G15" s="8" t="s">
        <v>7</v>
      </c>
      <c r="H15" s="8" t="s">
        <v>7</v>
      </c>
      <c r="I15" s="8" t="s">
        <v>5</v>
      </c>
      <c r="J15" s="8" t="s">
        <v>7</v>
      </c>
      <c r="K15" s="8" t="s">
        <v>7</v>
      </c>
      <c r="L15" s="8" t="s">
        <v>7</v>
      </c>
      <c r="M15" s="8" t="s">
        <v>7</v>
      </c>
      <c r="N15" s="8" t="s">
        <v>199</v>
      </c>
      <c r="O15" s="8" t="s">
        <v>5</v>
      </c>
      <c r="P15" s="8" t="s">
        <v>5</v>
      </c>
      <c r="Q15" s="8" t="s">
        <v>200</v>
      </c>
      <c r="R15" s="8" t="s">
        <v>7</v>
      </c>
      <c r="S15" s="8" t="s">
        <v>199</v>
      </c>
      <c r="T15" s="8" t="s">
        <v>7</v>
      </c>
      <c r="U15" s="8" t="s">
        <v>7</v>
      </c>
      <c r="V15" s="4" t="s">
        <v>112</v>
      </c>
      <c r="W15" s="13" t="s">
        <v>113</v>
      </c>
      <c r="X15" s="305">
        <v>225</v>
      </c>
      <c r="Y15" s="306" t="s">
        <v>293</v>
      </c>
      <c r="Z15" s="307">
        <v>0.1</v>
      </c>
      <c r="AA15" s="306" t="s">
        <v>293</v>
      </c>
      <c r="AB15" s="305" t="s">
        <v>265</v>
      </c>
      <c r="AC15" s="15" t="s">
        <v>114</v>
      </c>
      <c r="AD15" s="8">
        <v>0</v>
      </c>
      <c r="AE15" s="8">
        <v>0</v>
      </c>
      <c r="AF15" s="8">
        <v>1</v>
      </c>
      <c r="AG15" s="9">
        <v>0</v>
      </c>
      <c r="AH15" s="9">
        <f t="shared" si="0"/>
        <v>3</v>
      </c>
      <c r="AI15" s="9">
        <f t="shared" si="1"/>
        <v>0</v>
      </c>
      <c r="AJ15" s="9">
        <f>IF(Herramienta!D51&gt;Herramienta!$C$28,1,0)+IF(AND(Herramienta!D76&lt;Herramienta!$C$28,Herramienta!D51&gt;0),3,0)+IF(AND(Herramienta!C40&lt;(Herramienta!$C$28/2),Herramienta!D51&lt;Herramienta!C40),2,0)</f>
        <v>0</v>
      </c>
      <c r="AK15" s="10">
        <f t="shared" si="2"/>
        <v>0.27272727272727271</v>
      </c>
    </row>
    <row r="16" spans="1:37" ht="18" customHeight="1" x14ac:dyDescent="0.25">
      <c r="A16" s="7">
        <v>14</v>
      </c>
      <c r="B16" s="26" t="s">
        <v>218</v>
      </c>
      <c r="C16" s="32" t="s">
        <v>252</v>
      </c>
      <c r="D16" s="8" t="s">
        <v>7</v>
      </c>
      <c r="E16" s="8" t="s">
        <v>9</v>
      </c>
      <c r="F16" s="8" t="s">
        <v>7</v>
      </c>
      <c r="G16" s="8" t="s">
        <v>5</v>
      </c>
      <c r="H16" s="8" t="s">
        <v>5</v>
      </c>
      <c r="I16" s="8" t="s">
        <v>7</v>
      </c>
      <c r="J16" s="8" t="s">
        <v>7</v>
      </c>
      <c r="K16" s="8" t="s">
        <v>7</v>
      </c>
      <c r="L16" s="8" t="s">
        <v>7</v>
      </c>
      <c r="M16" s="8" t="s">
        <v>7</v>
      </c>
      <c r="N16" s="8" t="s">
        <v>199</v>
      </c>
      <c r="O16" s="8" t="s">
        <v>7</v>
      </c>
      <c r="P16" s="8" t="s">
        <v>199</v>
      </c>
      <c r="Q16" s="8" t="s">
        <v>200</v>
      </c>
      <c r="R16" s="8" t="s">
        <v>7</v>
      </c>
      <c r="S16" s="8" t="s">
        <v>199</v>
      </c>
      <c r="T16" s="8" t="s">
        <v>7</v>
      </c>
      <c r="U16" s="8" t="s">
        <v>7</v>
      </c>
      <c r="V16" s="4" t="s">
        <v>118</v>
      </c>
      <c r="W16" s="13" t="s">
        <v>119</v>
      </c>
      <c r="X16" s="305"/>
      <c r="Y16" s="307"/>
      <c r="Z16" s="307"/>
      <c r="AA16" s="307"/>
      <c r="AB16" s="305"/>
      <c r="AC16" s="16" t="s">
        <v>120</v>
      </c>
      <c r="AD16" s="8">
        <v>1</v>
      </c>
      <c r="AE16" s="8">
        <v>1</v>
      </c>
      <c r="AF16" s="8">
        <v>1</v>
      </c>
      <c r="AG16" s="9">
        <v>0</v>
      </c>
      <c r="AH16" s="9">
        <f t="shared" si="0"/>
        <v>5</v>
      </c>
      <c r="AI16" s="9">
        <f t="shared" si="1"/>
        <v>0</v>
      </c>
      <c r="AJ16" s="9">
        <f>IF(Herramienta!D52&gt;Herramienta!$C$28,1,0)+IF(AND(Herramienta!D77&lt;Herramienta!$C$28,Herramienta!D52&gt;0),3,0)+IF(AND(Herramienta!C41&lt;(Herramienta!$C$28/2),Herramienta!D52&lt;Herramienta!C41),2,0)</f>
        <v>0</v>
      </c>
      <c r="AK16" s="10">
        <f t="shared" si="2"/>
        <v>0.45454545454545453</v>
      </c>
    </row>
    <row r="17" spans="1:37" ht="18" customHeight="1" x14ac:dyDescent="0.25">
      <c r="A17" s="7">
        <v>15</v>
      </c>
      <c r="B17" s="26" t="s">
        <v>219</v>
      </c>
      <c r="C17" s="32" t="s">
        <v>253</v>
      </c>
      <c r="D17" s="8" t="s">
        <v>7</v>
      </c>
      <c r="E17" s="8" t="s">
        <v>10</v>
      </c>
      <c r="F17" s="8" t="s">
        <v>7</v>
      </c>
      <c r="G17" s="8" t="s">
        <v>7</v>
      </c>
      <c r="H17" s="8" t="s">
        <v>7</v>
      </c>
      <c r="I17" s="8" t="s">
        <v>7</v>
      </c>
      <c r="J17" s="8" t="s">
        <v>7</v>
      </c>
      <c r="K17" s="8" t="s">
        <v>5</v>
      </c>
      <c r="L17" s="8" t="s">
        <v>5</v>
      </c>
      <c r="M17" s="8" t="s">
        <v>7</v>
      </c>
      <c r="N17" s="8" t="s">
        <v>199</v>
      </c>
      <c r="O17" s="8" t="s">
        <v>7</v>
      </c>
      <c r="P17" s="8" t="s">
        <v>199</v>
      </c>
      <c r="Q17" s="8" t="s">
        <v>200</v>
      </c>
      <c r="R17" s="8" t="s">
        <v>7</v>
      </c>
      <c r="S17" s="8" t="s">
        <v>199</v>
      </c>
      <c r="T17" s="8" t="s">
        <v>7</v>
      </c>
      <c r="U17" s="8" t="s">
        <v>7</v>
      </c>
      <c r="V17" s="4" t="s">
        <v>122</v>
      </c>
      <c r="W17" s="13" t="s">
        <v>123</v>
      </c>
      <c r="X17" s="305">
        <v>60</v>
      </c>
      <c r="Y17" s="306" t="s">
        <v>293</v>
      </c>
      <c r="Z17" s="307">
        <v>3</v>
      </c>
      <c r="AA17" s="306" t="s">
        <v>293</v>
      </c>
      <c r="AB17" s="305" t="s">
        <v>265</v>
      </c>
      <c r="AC17" s="18" t="s">
        <v>124</v>
      </c>
      <c r="AD17" s="8">
        <v>1</v>
      </c>
      <c r="AE17" s="8">
        <v>1</v>
      </c>
      <c r="AF17" s="8">
        <v>0</v>
      </c>
      <c r="AG17" s="9">
        <v>1</v>
      </c>
      <c r="AH17" s="9">
        <f t="shared" si="0"/>
        <v>4</v>
      </c>
      <c r="AI17" s="9">
        <f t="shared" si="1"/>
        <v>3</v>
      </c>
      <c r="AJ17" s="9">
        <f>IF(Herramienta!D53&gt;Herramienta!$C$28,1,0)+IF(AND(Herramienta!D78&lt;Herramienta!$C$28,Herramienta!D53&gt;0),3,0)+IF(AND(Herramienta!C42&lt;(Herramienta!$C$28/2),Herramienta!D53&lt;Herramienta!C42),2,0)</f>
        <v>0</v>
      </c>
      <c r="AK17" s="10">
        <f t="shared" si="2"/>
        <v>0.63636363636363635</v>
      </c>
    </row>
    <row r="18" spans="1:37" ht="15" customHeight="1" x14ac:dyDescent="0.25">
      <c r="A18" s="7">
        <v>16</v>
      </c>
      <c r="B18" s="26" t="s">
        <v>220</v>
      </c>
      <c r="C18" s="32" t="s">
        <v>260</v>
      </c>
      <c r="D18" s="8" t="s">
        <v>7</v>
      </c>
      <c r="E18" s="8" t="s">
        <v>215</v>
      </c>
      <c r="F18" s="8" t="s">
        <v>7</v>
      </c>
      <c r="G18" s="8" t="s">
        <v>5</v>
      </c>
      <c r="H18" s="8" t="s">
        <v>5</v>
      </c>
      <c r="I18" s="8" t="s">
        <v>5</v>
      </c>
      <c r="J18" s="8" t="s">
        <v>7</v>
      </c>
      <c r="K18" s="8" t="s">
        <v>7</v>
      </c>
      <c r="L18" s="8" t="s">
        <v>7</v>
      </c>
      <c r="M18" s="8" t="s">
        <v>7</v>
      </c>
      <c r="N18" s="8" t="s">
        <v>199</v>
      </c>
      <c r="O18" s="8" t="s">
        <v>7</v>
      </c>
      <c r="P18" s="8" t="s">
        <v>199</v>
      </c>
      <c r="Q18" s="8" t="s">
        <v>202</v>
      </c>
      <c r="R18" s="8" t="s">
        <v>7</v>
      </c>
      <c r="S18" s="8" t="s">
        <v>199</v>
      </c>
      <c r="T18" s="8" t="s">
        <v>7</v>
      </c>
      <c r="U18" s="8" t="s">
        <v>7</v>
      </c>
      <c r="V18" s="4" t="s">
        <v>128</v>
      </c>
      <c r="W18" s="13" t="s">
        <v>129</v>
      </c>
      <c r="X18" s="305">
        <v>150</v>
      </c>
      <c r="Y18" s="306" t="s">
        <v>293</v>
      </c>
      <c r="Z18" s="307">
        <v>0.74</v>
      </c>
      <c r="AA18" s="306" t="s">
        <v>293</v>
      </c>
      <c r="AB18" s="305" t="s">
        <v>265</v>
      </c>
      <c r="AC18" s="16" t="s">
        <v>130</v>
      </c>
      <c r="AD18" s="8">
        <v>0</v>
      </c>
      <c r="AE18" s="8">
        <v>0</v>
      </c>
      <c r="AF18" s="8">
        <v>1</v>
      </c>
      <c r="AG18" s="9">
        <v>0</v>
      </c>
      <c r="AH18" s="9">
        <f t="shared" si="0"/>
        <v>3</v>
      </c>
      <c r="AI18" s="9">
        <f t="shared" si="1"/>
        <v>0</v>
      </c>
      <c r="AJ18" s="9">
        <f>IF(Herramienta!D54&gt;Herramienta!$C$28,1,0)+IF(AND(Herramienta!D79&lt;Herramienta!$C$28,Herramienta!D54&gt;0),3,0)+IF(AND(Herramienta!C43&lt;(Herramienta!$C$28/2),Herramienta!D54&lt;Herramienta!C43),2,0)</f>
        <v>4</v>
      </c>
      <c r="AK18" s="10">
        <f t="shared" si="2"/>
        <v>0.63636363636363635</v>
      </c>
    </row>
    <row r="19" spans="1:37" ht="18" customHeight="1" x14ac:dyDescent="0.25">
      <c r="A19" s="7">
        <v>17</v>
      </c>
      <c r="B19" s="26" t="s">
        <v>221</v>
      </c>
      <c r="C19" s="32" t="s">
        <v>261</v>
      </c>
      <c r="D19" s="8" t="s">
        <v>7</v>
      </c>
      <c r="E19" s="8" t="s">
        <v>215</v>
      </c>
      <c r="F19" s="8" t="s">
        <v>5</v>
      </c>
      <c r="G19" s="8" t="s">
        <v>7</v>
      </c>
      <c r="H19" s="8" t="s">
        <v>7</v>
      </c>
      <c r="I19" s="8" t="s">
        <v>7</v>
      </c>
      <c r="J19" s="8" t="s">
        <v>7</v>
      </c>
      <c r="K19" s="8" t="s">
        <v>7</v>
      </c>
      <c r="L19" s="8" t="s">
        <v>7</v>
      </c>
      <c r="M19" s="8" t="s">
        <v>7</v>
      </c>
      <c r="N19" s="8" t="s">
        <v>199</v>
      </c>
      <c r="O19" s="8" t="s">
        <v>7</v>
      </c>
      <c r="P19" s="8" t="s">
        <v>199</v>
      </c>
      <c r="Q19" s="8" t="s">
        <v>200</v>
      </c>
      <c r="R19" s="8" t="s">
        <v>7</v>
      </c>
      <c r="S19" s="8" t="s">
        <v>199</v>
      </c>
      <c r="T19" s="8" t="s">
        <v>7</v>
      </c>
      <c r="U19" s="8" t="s">
        <v>7</v>
      </c>
      <c r="V19" s="3" t="s">
        <v>133</v>
      </c>
      <c r="W19" s="13" t="s">
        <v>134</v>
      </c>
      <c r="X19" s="305">
        <v>7.5</v>
      </c>
      <c r="Y19" s="306" t="s">
        <v>293</v>
      </c>
      <c r="Z19" s="307">
        <v>0</v>
      </c>
      <c r="AA19" s="306" t="s">
        <v>293</v>
      </c>
      <c r="AB19" s="305" t="s">
        <v>265</v>
      </c>
      <c r="AC19" s="15" t="s">
        <v>135</v>
      </c>
      <c r="AD19" s="8">
        <v>1</v>
      </c>
      <c r="AE19" s="8">
        <v>1</v>
      </c>
      <c r="AF19" s="8">
        <v>0</v>
      </c>
      <c r="AG19" s="9">
        <v>1</v>
      </c>
      <c r="AH19" s="9">
        <f t="shared" si="0"/>
        <v>4</v>
      </c>
      <c r="AI19" s="9">
        <f t="shared" si="1"/>
        <v>3</v>
      </c>
      <c r="AJ19" s="9">
        <f>IF(Herramienta!D55&gt;Herramienta!$C$28,1,0)+IF(AND(Herramienta!D80&lt;Herramienta!$C$28,Herramienta!D55&gt;0),3,0)+IF(AND(Herramienta!C44&lt;(Herramienta!$C$28/2),Herramienta!D55&lt;Herramienta!C44),2,0)</f>
        <v>3</v>
      </c>
      <c r="AK19" s="10">
        <f t="shared" si="2"/>
        <v>0.90909090909090906</v>
      </c>
    </row>
    <row r="20" spans="1:37" ht="15" customHeight="1" x14ac:dyDescent="0.25">
      <c r="A20" s="7">
        <v>18</v>
      </c>
      <c r="B20" s="26" t="s">
        <v>222</v>
      </c>
      <c r="C20" s="32" t="s">
        <v>259</v>
      </c>
      <c r="D20" s="8" t="s">
        <v>5</v>
      </c>
      <c r="E20" s="8" t="s">
        <v>204</v>
      </c>
      <c r="F20" s="8" t="s">
        <v>7</v>
      </c>
      <c r="G20" s="8" t="s">
        <v>7</v>
      </c>
      <c r="H20" s="8" t="s">
        <v>7</v>
      </c>
      <c r="I20" s="8" t="s">
        <v>7</v>
      </c>
      <c r="J20" s="8" t="s">
        <v>7</v>
      </c>
      <c r="K20" s="8" t="s">
        <v>7</v>
      </c>
      <c r="L20" s="8" t="s">
        <v>5</v>
      </c>
      <c r="M20" s="8" t="s">
        <v>7</v>
      </c>
      <c r="N20" s="8" t="s">
        <v>199</v>
      </c>
      <c r="O20" s="8" t="s">
        <v>7</v>
      </c>
      <c r="P20" s="8" t="s">
        <v>199</v>
      </c>
      <c r="Q20" s="8" t="s">
        <v>200</v>
      </c>
      <c r="R20" s="8" t="s">
        <v>7</v>
      </c>
      <c r="S20" s="8" t="s">
        <v>199</v>
      </c>
      <c r="T20" s="8" t="s">
        <v>7</v>
      </c>
      <c r="U20" s="8" t="s">
        <v>7</v>
      </c>
      <c r="V20" s="4" t="s">
        <v>137</v>
      </c>
      <c r="W20" s="13" t="s">
        <v>138</v>
      </c>
      <c r="X20" s="305">
        <v>950</v>
      </c>
      <c r="Y20" s="306" t="s">
        <v>293</v>
      </c>
      <c r="Z20" s="307">
        <v>5.3</v>
      </c>
      <c r="AA20" s="306" t="s">
        <v>293</v>
      </c>
      <c r="AB20" s="305" t="s">
        <v>265</v>
      </c>
      <c r="AC20" s="16" t="s">
        <v>139</v>
      </c>
      <c r="AD20" s="8">
        <v>0</v>
      </c>
      <c r="AE20" s="8">
        <v>0</v>
      </c>
      <c r="AF20" s="8">
        <v>1</v>
      </c>
      <c r="AG20" s="9">
        <v>0</v>
      </c>
      <c r="AH20" s="9">
        <f t="shared" si="0"/>
        <v>3</v>
      </c>
      <c r="AI20" s="9">
        <f t="shared" si="1"/>
        <v>0</v>
      </c>
      <c r="AJ20" s="9">
        <f>IF(Herramienta!D56&gt;Herramienta!$C$28,1,0)+IF(AND(Herramienta!D81&lt;Herramienta!$C$28,Herramienta!D56&gt;0),3,0)+IF(AND(Herramienta!C45&lt;(Herramienta!$C$28/2),Herramienta!D56&lt;Herramienta!C45),2,0)</f>
        <v>0</v>
      </c>
      <c r="AK20" s="10">
        <f t="shared" si="2"/>
        <v>0.27272727272727271</v>
      </c>
    </row>
    <row r="21" spans="1:37" ht="18" customHeight="1" x14ac:dyDescent="0.25">
      <c r="A21" s="7">
        <v>19</v>
      </c>
      <c r="B21" s="26" t="s">
        <v>232</v>
      </c>
      <c r="C21" s="26" t="s">
        <v>254</v>
      </c>
      <c r="D21" s="8" t="s">
        <v>7</v>
      </c>
      <c r="E21" s="8" t="s">
        <v>215</v>
      </c>
      <c r="F21" s="8" t="s">
        <v>7</v>
      </c>
      <c r="G21" s="8" t="s">
        <v>5</v>
      </c>
      <c r="H21" s="8" t="s">
        <v>7</v>
      </c>
      <c r="I21" s="8" t="s">
        <v>7</v>
      </c>
      <c r="J21" s="8" t="s">
        <v>7</v>
      </c>
      <c r="K21" s="8" t="s">
        <v>7</v>
      </c>
      <c r="L21" s="8" t="s">
        <v>7</v>
      </c>
      <c r="M21" s="8" t="s">
        <v>7</v>
      </c>
      <c r="N21" s="8" t="s">
        <v>199</v>
      </c>
      <c r="O21" s="8" t="s">
        <v>7</v>
      </c>
      <c r="P21" s="8" t="s">
        <v>199</v>
      </c>
      <c r="Q21" s="8" t="s">
        <v>200</v>
      </c>
      <c r="R21" s="8" t="s">
        <v>7</v>
      </c>
      <c r="S21" s="8" t="s">
        <v>199</v>
      </c>
      <c r="T21" s="8" t="s">
        <v>7</v>
      </c>
      <c r="U21" s="8" t="s">
        <v>7</v>
      </c>
      <c r="V21" s="4" t="s">
        <v>142</v>
      </c>
      <c r="W21" s="13" t="s">
        <v>143</v>
      </c>
      <c r="X21" s="305"/>
      <c r="Y21" s="307"/>
      <c r="Z21" s="307"/>
      <c r="AA21" s="307"/>
      <c r="AB21" s="305"/>
      <c r="AC21" s="16" t="s">
        <v>144</v>
      </c>
      <c r="AD21" s="8">
        <v>1</v>
      </c>
      <c r="AE21" s="8">
        <v>1</v>
      </c>
      <c r="AF21" s="8">
        <v>1</v>
      </c>
      <c r="AG21" s="9">
        <v>0</v>
      </c>
      <c r="AH21" s="9">
        <f t="shared" si="0"/>
        <v>5</v>
      </c>
      <c r="AI21" s="9">
        <f t="shared" si="1"/>
        <v>0</v>
      </c>
      <c r="AJ21" s="9">
        <f>IF(Herramienta!D57&gt;Herramienta!$C$28,1,0)+IF(AND(Herramienta!D82&lt;Herramienta!$C$28,Herramienta!D57&gt;0),3,0)+IF(AND(Herramienta!C46&lt;(Herramienta!$C$28/2),Herramienta!D57&lt;Herramienta!C46),2,0)</f>
        <v>0</v>
      </c>
      <c r="AK21" s="10">
        <f t="shared" si="2"/>
        <v>0.45454545454545453</v>
      </c>
    </row>
    <row r="22" spans="1:37" ht="18" customHeight="1" x14ac:dyDescent="0.25">
      <c r="A22" s="7">
        <v>20</v>
      </c>
      <c r="B22" s="26" t="s">
        <v>223</v>
      </c>
      <c r="C22" s="32" t="s">
        <v>256</v>
      </c>
      <c r="D22" s="8" t="s">
        <v>5</v>
      </c>
      <c r="E22" s="8" t="s">
        <v>215</v>
      </c>
      <c r="F22" s="8" t="s">
        <v>7</v>
      </c>
      <c r="G22" s="8" t="s">
        <v>7</v>
      </c>
      <c r="H22" s="8" t="s">
        <v>7</v>
      </c>
      <c r="I22" s="8" t="s">
        <v>7</v>
      </c>
      <c r="J22" s="8" t="s">
        <v>7</v>
      </c>
      <c r="K22" s="8" t="s">
        <v>7</v>
      </c>
      <c r="L22" s="8" t="s">
        <v>7</v>
      </c>
      <c r="M22" s="8" t="s">
        <v>7</v>
      </c>
      <c r="N22" s="8" t="s">
        <v>199</v>
      </c>
      <c r="O22" s="8" t="s">
        <v>7</v>
      </c>
      <c r="P22" s="8" t="s">
        <v>199</v>
      </c>
      <c r="Q22" s="8" t="s">
        <v>200</v>
      </c>
      <c r="R22" s="8" t="s">
        <v>7</v>
      </c>
      <c r="S22" s="8" t="s">
        <v>199</v>
      </c>
      <c r="T22" s="8" t="s">
        <v>7</v>
      </c>
      <c r="U22" s="8" t="s">
        <v>7</v>
      </c>
      <c r="V22" s="4" t="s">
        <v>147</v>
      </c>
      <c r="W22" s="13" t="s">
        <v>148</v>
      </c>
      <c r="X22" s="305">
        <v>225.5</v>
      </c>
      <c r="Y22" s="306" t="s">
        <v>293</v>
      </c>
      <c r="Z22" s="307">
        <v>7.1</v>
      </c>
      <c r="AA22" s="306" t="s">
        <v>293</v>
      </c>
      <c r="AB22" s="305" t="s">
        <v>265</v>
      </c>
      <c r="AC22" s="15" t="s">
        <v>149</v>
      </c>
      <c r="AD22" s="8">
        <v>0</v>
      </c>
      <c r="AE22" s="8">
        <v>0</v>
      </c>
      <c r="AF22" s="8">
        <v>1</v>
      </c>
      <c r="AG22" s="9">
        <v>0</v>
      </c>
      <c r="AH22" s="9">
        <f t="shared" si="0"/>
        <v>3</v>
      </c>
      <c r="AI22" s="9">
        <f t="shared" si="1"/>
        <v>0</v>
      </c>
      <c r="AJ22" s="9">
        <f>IF(Herramienta!D58&gt;Herramienta!$C$28,1,0)+IF(AND(Herramienta!D83&lt;Herramienta!$C$28,Herramienta!D58&gt;0),3,0)+IF(AND(Herramienta!C47&lt;(Herramienta!$C$28/2),Herramienta!D58&lt;Herramienta!C47),2,0)</f>
        <v>0</v>
      </c>
      <c r="AK22" s="10">
        <f t="shared" si="2"/>
        <v>0.27272727272727271</v>
      </c>
    </row>
    <row r="23" spans="1:37" ht="18" customHeight="1" x14ac:dyDescent="0.25">
      <c r="A23" s="7">
        <v>21</v>
      </c>
      <c r="B23" s="26" t="s">
        <v>224</v>
      </c>
      <c r="C23" s="32" t="s">
        <v>262</v>
      </c>
      <c r="D23" s="8" t="s">
        <v>7</v>
      </c>
      <c r="E23" s="8" t="s">
        <v>215</v>
      </c>
      <c r="F23" s="8" t="s">
        <v>7</v>
      </c>
      <c r="G23" s="8" t="s">
        <v>5</v>
      </c>
      <c r="H23" s="8" t="s">
        <v>5</v>
      </c>
      <c r="I23" s="8" t="s">
        <v>5</v>
      </c>
      <c r="J23" s="8" t="s">
        <v>7</v>
      </c>
      <c r="K23" s="8" t="s">
        <v>5</v>
      </c>
      <c r="L23" s="8" t="s">
        <v>5</v>
      </c>
      <c r="M23" s="8" t="s">
        <v>7</v>
      </c>
      <c r="N23" s="8" t="s">
        <v>199</v>
      </c>
      <c r="O23" s="8" t="s">
        <v>7</v>
      </c>
      <c r="P23" s="8" t="s">
        <v>199</v>
      </c>
      <c r="Q23" s="8" t="s">
        <v>200</v>
      </c>
      <c r="R23" s="8" t="s">
        <v>7</v>
      </c>
      <c r="S23" s="8" t="s">
        <v>199</v>
      </c>
      <c r="T23" s="8" t="s">
        <v>7</v>
      </c>
      <c r="U23" s="8" t="s">
        <v>7</v>
      </c>
      <c r="V23" s="4" t="s">
        <v>153</v>
      </c>
      <c r="W23" s="13" t="s">
        <v>154</v>
      </c>
      <c r="X23" s="305">
        <v>60</v>
      </c>
      <c r="Y23" s="306" t="s">
        <v>293</v>
      </c>
      <c r="Z23" s="307">
        <v>0.5</v>
      </c>
      <c r="AA23" s="306" t="s">
        <v>293</v>
      </c>
      <c r="AB23" s="305" t="s">
        <v>265</v>
      </c>
      <c r="AC23" s="16" t="s">
        <v>155</v>
      </c>
      <c r="AD23" s="8">
        <v>1</v>
      </c>
      <c r="AE23" s="8">
        <v>1</v>
      </c>
      <c r="AF23" s="8">
        <v>1</v>
      </c>
      <c r="AG23" s="9">
        <v>0</v>
      </c>
      <c r="AH23" s="9">
        <f t="shared" si="0"/>
        <v>5</v>
      </c>
      <c r="AI23" s="9">
        <f t="shared" si="1"/>
        <v>0</v>
      </c>
      <c r="AJ23" s="9">
        <f>IF(Herramienta!D59&gt;Herramienta!$C$28,1,0)+IF(AND(Herramienta!D84&lt;Herramienta!$C$28,Herramienta!D59&gt;0),3,0)+IF(AND(Herramienta!C48&lt;(Herramienta!$C$28/2),Herramienta!D59&lt;Herramienta!C48),2,0)</f>
        <v>0</v>
      </c>
      <c r="AK23" s="10">
        <f t="shared" si="2"/>
        <v>0.45454545454545453</v>
      </c>
    </row>
    <row r="24" spans="1:37" ht="17.25" customHeight="1" x14ac:dyDescent="0.25">
      <c r="A24" s="7">
        <v>22</v>
      </c>
      <c r="B24" s="26" t="s">
        <v>225</v>
      </c>
      <c r="C24" s="32" t="s">
        <v>255</v>
      </c>
      <c r="D24" s="8" t="s">
        <v>5</v>
      </c>
      <c r="E24" s="8" t="s">
        <v>9</v>
      </c>
      <c r="F24" s="8" t="s">
        <v>7</v>
      </c>
      <c r="G24" s="8" t="s">
        <v>7</v>
      </c>
      <c r="H24" s="8" t="s">
        <v>7</v>
      </c>
      <c r="I24" s="8" t="s">
        <v>7</v>
      </c>
      <c r="J24" s="8" t="s">
        <v>7</v>
      </c>
      <c r="K24" s="8" t="s">
        <v>7</v>
      </c>
      <c r="L24" s="8" t="s">
        <v>5</v>
      </c>
      <c r="M24" s="8" t="s">
        <v>7</v>
      </c>
      <c r="N24" s="8" t="s">
        <v>199</v>
      </c>
      <c r="O24" s="8" t="s">
        <v>7</v>
      </c>
      <c r="P24" s="8" t="s">
        <v>199</v>
      </c>
      <c r="Q24" s="8" t="s">
        <v>200</v>
      </c>
      <c r="R24" s="8" t="s">
        <v>7</v>
      </c>
      <c r="S24" s="8" t="s">
        <v>199</v>
      </c>
      <c r="T24" s="8" t="s">
        <v>7</v>
      </c>
      <c r="U24" s="8" t="s">
        <v>7</v>
      </c>
      <c r="V24" s="4" t="s">
        <v>158</v>
      </c>
      <c r="W24" s="13" t="s">
        <v>159</v>
      </c>
      <c r="X24" s="305">
        <v>234</v>
      </c>
      <c r="Y24" s="306" t="s">
        <v>293</v>
      </c>
      <c r="Z24" s="307">
        <v>0</v>
      </c>
      <c r="AA24" s="306" t="s">
        <v>293</v>
      </c>
      <c r="AB24" s="305" t="s">
        <v>265</v>
      </c>
      <c r="AC24" s="16" t="s">
        <v>160</v>
      </c>
      <c r="AD24" s="8">
        <v>0</v>
      </c>
      <c r="AE24" s="8">
        <v>1</v>
      </c>
      <c r="AF24" s="8">
        <v>1</v>
      </c>
      <c r="AG24" s="9">
        <v>0</v>
      </c>
      <c r="AH24" s="9">
        <f t="shared" si="0"/>
        <v>4</v>
      </c>
      <c r="AI24" s="9">
        <f t="shared" si="1"/>
        <v>0</v>
      </c>
      <c r="AJ24" s="9">
        <f>IF(Herramienta!D60&gt;Herramienta!$C$28,1,0)+IF(AND(Herramienta!D85&lt;Herramienta!$C$28,Herramienta!D60&gt;0),3,0)+IF(AND(Herramienta!C49&lt;(Herramienta!$C$28/2),Herramienta!D60&lt;Herramienta!C49),2,0)</f>
        <v>2</v>
      </c>
      <c r="AK24" s="10">
        <f t="shared" si="2"/>
        <v>0.54545454545454541</v>
      </c>
    </row>
    <row r="25" spans="1:37" ht="18" customHeight="1" x14ac:dyDescent="0.25">
      <c r="A25" s="7">
        <v>23</v>
      </c>
      <c r="B25" s="26" t="s">
        <v>226</v>
      </c>
      <c r="C25" s="32" t="s">
        <v>258</v>
      </c>
      <c r="D25" s="8" t="s">
        <v>7</v>
      </c>
      <c r="E25" s="8" t="s">
        <v>215</v>
      </c>
      <c r="F25" s="8" t="s">
        <v>7</v>
      </c>
      <c r="G25" s="8" t="s">
        <v>5</v>
      </c>
      <c r="H25" s="8" t="s">
        <v>7</v>
      </c>
      <c r="I25" s="8" t="s">
        <v>7</v>
      </c>
      <c r="J25" s="8" t="s">
        <v>7</v>
      </c>
      <c r="K25" s="8" t="s">
        <v>7</v>
      </c>
      <c r="L25" s="8" t="s">
        <v>7</v>
      </c>
      <c r="M25" s="8" t="s">
        <v>7</v>
      </c>
      <c r="N25" s="8" t="s">
        <v>199</v>
      </c>
      <c r="O25" s="8" t="s">
        <v>7</v>
      </c>
      <c r="P25" s="8" t="s">
        <v>199</v>
      </c>
      <c r="Q25" s="8" t="s">
        <v>200</v>
      </c>
      <c r="R25" s="8" t="s">
        <v>7</v>
      </c>
      <c r="S25" s="8" t="s">
        <v>199</v>
      </c>
      <c r="T25" s="8" t="s">
        <v>7</v>
      </c>
      <c r="U25" s="8" t="s">
        <v>7</v>
      </c>
      <c r="V25" s="4" t="s">
        <v>164</v>
      </c>
      <c r="W25" s="13" t="s">
        <v>165</v>
      </c>
      <c r="X25" s="308">
        <v>10</v>
      </c>
      <c r="Y25" s="309" t="s">
        <v>289</v>
      </c>
      <c r="Z25" s="306" t="s">
        <v>238</v>
      </c>
      <c r="AA25" s="306"/>
      <c r="AB25" s="310" t="s">
        <v>290</v>
      </c>
      <c r="AC25" s="16" t="s">
        <v>166</v>
      </c>
      <c r="AD25" s="8">
        <v>0</v>
      </c>
      <c r="AE25" s="8">
        <v>1</v>
      </c>
      <c r="AF25" s="8">
        <v>0</v>
      </c>
      <c r="AG25" s="9">
        <v>1</v>
      </c>
      <c r="AH25" s="9">
        <f t="shared" si="0"/>
        <v>3</v>
      </c>
      <c r="AI25" s="9">
        <f t="shared" si="1"/>
        <v>3</v>
      </c>
      <c r="AJ25" s="9">
        <f>IF(Herramienta!D61&gt;Herramienta!$C$28,1,0)+IF(AND(Herramienta!D86&lt;Herramienta!$C$28,Herramienta!D61&gt;0),3,0)+IF(AND(Herramienta!C50&lt;(Herramienta!$C$28/2),Herramienta!D61&lt;Herramienta!C50),2,0)</f>
        <v>2</v>
      </c>
      <c r="AK25" s="10">
        <f t="shared" si="2"/>
        <v>0.72727272727272729</v>
      </c>
    </row>
    <row r="26" spans="1:37" ht="18" customHeight="1" x14ac:dyDescent="0.25">
      <c r="A26" s="7">
        <v>24</v>
      </c>
      <c r="B26" s="26" t="s">
        <v>227</v>
      </c>
      <c r="C26" s="32" t="s">
        <v>257</v>
      </c>
      <c r="D26" s="8" t="s">
        <v>5</v>
      </c>
      <c r="E26" s="8" t="s">
        <v>204</v>
      </c>
      <c r="F26" s="8" t="s">
        <v>5</v>
      </c>
      <c r="G26" s="8" t="s">
        <v>5</v>
      </c>
      <c r="H26" s="8" t="s">
        <v>5</v>
      </c>
      <c r="I26" s="8" t="s">
        <v>7</v>
      </c>
      <c r="J26" s="8" t="s">
        <v>7</v>
      </c>
      <c r="K26" s="8" t="s">
        <v>7</v>
      </c>
      <c r="L26" s="8" t="s">
        <v>7</v>
      </c>
      <c r="M26" s="8" t="s">
        <v>7</v>
      </c>
      <c r="N26" s="8" t="s">
        <v>199</v>
      </c>
      <c r="O26" s="8" t="s">
        <v>7</v>
      </c>
      <c r="P26" s="8" t="s">
        <v>199</v>
      </c>
      <c r="Q26" s="8" t="s">
        <v>200</v>
      </c>
      <c r="R26" s="8" t="s">
        <v>7</v>
      </c>
      <c r="S26" s="8" t="s">
        <v>199</v>
      </c>
      <c r="T26" s="8" t="s">
        <v>7</v>
      </c>
      <c r="U26" s="8" t="s">
        <v>7</v>
      </c>
      <c r="V26" s="4" t="s">
        <v>169</v>
      </c>
      <c r="W26" s="13" t="s">
        <v>170</v>
      </c>
      <c r="X26" s="305">
        <f>1624870/1982</f>
        <v>819.81331987891019</v>
      </c>
      <c r="Y26" s="306" t="s">
        <v>293</v>
      </c>
      <c r="Z26" s="307">
        <f>(27623/1982)/12</f>
        <v>1.1614110326269762</v>
      </c>
      <c r="AA26" s="306" t="s">
        <v>289</v>
      </c>
      <c r="AB26" s="305" t="s">
        <v>275</v>
      </c>
      <c r="AC26" s="15" t="s">
        <v>171</v>
      </c>
      <c r="AD26" s="8">
        <v>0</v>
      </c>
      <c r="AE26" s="8">
        <v>0</v>
      </c>
      <c r="AF26" s="8">
        <v>1</v>
      </c>
      <c r="AG26" s="9">
        <v>0</v>
      </c>
      <c r="AH26" s="9">
        <f t="shared" si="0"/>
        <v>3</v>
      </c>
      <c r="AI26" s="9">
        <f t="shared" si="1"/>
        <v>0</v>
      </c>
      <c r="AJ26" s="9">
        <f>IF(Herramienta!D62&gt;Herramienta!$C$28,1,0)+IF(AND(Herramienta!D87&lt;Herramienta!$C$28,Herramienta!D62&gt;0),3,0)+IF(AND(Herramienta!C51&lt;(Herramienta!$C$28/2),Herramienta!D62&lt;Herramienta!C51),2,0)</f>
        <v>0</v>
      </c>
      <c r="AK26" s="10">
        <f>(AH26+AI26+AJ26)/11</f>
        <v>0.27272727272727271</v>
      </c>
    </row>
    <row r="27" spans="1:37" ht="18" customHeight="1" thickBot="1" x14ac:dyDescent="0.3">
      <c r="A27" s="7">
        <v>25</v>
      </c>
      <c r="B27" s="26" t="s">
        <v>233</v>
      </c>
      <c r="C27" s="32" t="s">
        <v>263</v>
      </c>
      <c r="D27" s="8" t="s">
        <v>5</v>
      </c>
      <c r="E27" s="8" t="s">
        <v>10</v>
      </c>
      <c r="F27" s="8" t="s">
        <v>7</v>
      </c>
      <c r="G27" s="8" t="s">
        <v>7</v>
      </c>
      <c r="H27" s="8" t="s">
        <v>7</v>
      </c>
      <c r="I27" s="8" t="s">
        <v>7</v>
      </c>
      <c r="J27" s="8" t="s">
        <v>7</v>
      </c>
      <c r="K27" s="8" t="s">
        <v>7</v>
      </c>
      <c r="L27" s="8" t="s">
        <v>7</v>
      </c>
      <c r="M27" s="8" t="s">
        <v>7</v>
      </c>
      <c r="N27" s="8" t="s">
        <v>199</v>
      </c>
      <c r="O27" s="8" t="s">
        <v>7</v>
      </c>
      <c r="P27" s="8" t="s">
        <v>199</v>
      </c>
      <c r="Q27" s="8" t="s">
        <v>200</v>
      </c>
      <c r="R27" s="8" t="s">
        <v>7</v>
      </c>
      <c r="S27" s="8" t="s">
        <v>199</v>
      </c>
      <c r="T27" s="8" t="s">
        <v>7</v>
      </c>
      <c r="U27" s="8" t="s">
        <v>7</v>
      </c>
      <c r="V27" s="12" t="s">
        <v>175</v>
      </c>
      <c r="W27" s="14" t="s">
        <v>176</v>
      </c>
      <c r="X27" s="311"/>
      <c r="Y27" s="312"/>
      <c r="Z27" s="312"/>
      <c r="AA27" s="312"/>
      <c r="AB27" s="311"/>
      <c r="AC27" s="19" t="s">
        <v>177</v>
      </c>
      <c r="AD27" s="8">
        <v>0</v>
      </c>
      <c r="AE27" s="8">
        <v>0</v>
      </c>
      <c r="AF27" s="8">
        <v>1</v>
      </c>
      <c r="AG27" s="9">
        <v>1</v>
      </c>
      <c r="AH27" s="9">
        <f t="shared" si="0"/>
        <v>3</v>
      </c>
      <c r="AI27" s="9">
        <f t="shared" si="1"/>
        <v>3</v>
      </c>
      <c r="AJ27" s="9">
        <f>IF(Herramienta!D63&gt;Herramienta!$C$28,1,0)+IF(AND(Herramienta!D88&lt;Herramienta!$C$28,Herramienta!D63&gt;0),3,0)+IF(AND(Herramienta!C52&lt;(Herramienta!$C$28/2),Herramienta!D63&lt;Herramienta!C52),2,0)</f>
        <v>0</v>
      </c>
      <c r="AK27" s="10">
        <f t="shared" si="2"/>
        <v>0.54545454545454541</v>
      </c>
    </row>
    <row r="28" spans="1:37" ht="15.75" customHeight="1" x14ac:dyDescent="0.25">
      <c r="X28" s="22"/>
      <c r="Y28" s="22"/>
      <c r="Z28" s="22"/>
      <c r="AA28" s="22"/>
      <c r="AB28" s="22"/>
    </row>
    <row r="29" spans="1:37" ht="15.75" customHeight="1" x14ac:dyDescent="0.25">
      <c r="Z29" s="24"/>
      <c r="AA29" s="24"/>
      <c r="AB29" s="24"/>
    </row>
    <row r="30" spans="1:37" ht="15.75" customHeight="1" x14ac:dyDescent="0.25">
      <c r="H30" t="s">
        <v>502</v>
      </c>
      <c r="X30" s="37" t="s">
        <v>279</v>
      </c>
      <c r="Y30" s="37"/>
    </row>
    <row r="31" spans="1:37" ht="15.75" customHeight="1" x14ac:dyDescent="0.25">
      <c r="X31" s="31" t="s">
        <v>266</v>
      </c>
      <c r="Y31" s="31"/>
    </row>
    <row r="32" spans="1:37" ht="15.75" customHeight="1" x14ac:dyDescent="0.25">
      <c r="X32" s="46" t="s">
        <v>296</v>
      </c>
      <c r="Y32" s="31"/>
    </row>
    <row r="33" spans="24:25" ht="15.75" customHeight="1" x14ac:dyDescent="0.25">
      <c r="X33" s="46" t="s">
        <v>267</v>
      </c>
      <c r="Y33" s="31"/>
    </row>
    <row r="34" spans="24:25" ht="15.75" customHeight="1" x14ac:dyDescent="0.25">
      <c r="X34" s="31" t="s">
        <v>269</v>
      </c>
      <c r="Y34" s="31"/>
    </row>
    <row r="35" spans="24:25" ht="15.75" customHeight="1" x14ac:dyDescent="0.25">
      <c r="X35" s="31" t="s">
        <v>268</v>
      </c>
      <c r="Y35" s="31"/>
    </row>
    <row r="36" spans="24:25" ht="15.75" customHeight="1" x14ac:dyDescent="0.25">
      <c r="X36" s="31" t="s">
        <v>276</v>
      </c>
      <c r="Y36" s="31"/>
    </row>
    <row r="37" spans="24:25" ht="15.75" customHeight="1" x14ac:dyDescent="0.25">
      <c r="X37" s="31" t="s">
        <v>274</v>
      </c>
      <c r="Y37" s="31"/>
    </row>
    <row r="38" spans="24:25" ht="15.75" customHeight="1" x14ac:dyDescent="0.25">
      <c r="X38" s="46" t="s">
        <v>291</v>
      </c>
    </row>
    <row r="39" spans="24:25" ht="15.75" customHeight="1" x14ac:dyDescent="0.25">
      <c r="X39" s="45" t="s">
        <v>272</v>
      </c>
      <c r="Y39" s="45"/>
    </row>
    <row r="40" spans="24:25" ht="15.75" customHeight="1" x14ac:dyDescent="0.25">
      <c r="X40" s="47" t="s">
        <v>288</v>
      </c>
      <c r="Y40" s="45"/>
    </row>
    <row r="41" spans="24:25" ht="15.75" customHeight="1" x14ac:dyDescent="0.25">
      <c r="X41" s="45" t="s">
        <v>273</v>
      </c>
      <c r="Y41" s="45"/>
    </row>
    <row r="42" spans="24:25" ht="15.75" customHeight="1" x14ac:dyDescent="0.25"/>
    <row r="43" spans="24:25" ht="15.75" customHeight="1" x14ac:dyDescent="0.25"/>
    <row r="44" spans="24:25" ht="15.75" customHeight="1" x14ac:dyDescent="0.25"/>
    <row r="45" spans="24:25" ht="15.75" customHeight="1" x14ac:dyDescent="0.25"/>
    <row r="46" spans="24:25" ht="15.75" customHeight="1" x14ac:dyDescent="0.25"/>
    <row r="47" spans="24:25" ht="15.75" customHeight="1" x14ac:dyDescent="0.25"/>
    <row r="48" spans="24:25"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sheetData>
  <autoFilter ref="B2:AK29" xr:uid="{00000000-0001-0000-0100-000000000000}"/>
  <mergeCells count="4">
    <mergeCell ref="D1:U1"/>
    <mergeCell ref="B1:B2"/>
    <mergeCell ref="AH1:AK1"/>
    <mergeCell ref="V1:AG1"/>
  </mergeCells>
  <phoneticPr fontId="22" type="noConversion"/>
  <hyperlinks>
    <hyperlink ref="AC3" r:id="rId1" location="mosque" xr:uid="{1CD2294E-6FDE-4A94-9891-2A075677FC76}"/>
    <hyperlink ref="AC4" r:id="rId2" display="https://repositorio.unican.es/xmlui/bitstream/handle/10902/7967/2015_Gonz%E1lezViar UWJ.pdf?sequence=1" xr:uid="{F09B8B40-25E3-46BA-9A36-630448A69E84}"/>
    <hyperlink ref="AC5" r:id="rId3" xr:uid="{9E1BEC15-D1D5-4578-9EA2-F0CFB2602116}"/>
    <hyperlink ref="AC6" r:id="rId4" xr:uid="{8C1FA581-BE7F-4F35-926F-FBF3CD566012}"/>
    <hyperlink ref="AC7" r:id="rId5" xr:uid="{92BF9DFB-6260-4372-A24E-0B4057FDACDF}"/>
    <hyperlink ref="AC8" r:id="rId6" xr:uid="{E3F5D34D-0A87-4A1E-B530-0A96C72C8F6D}"/>
    <hyperlink ref="AC9" r:id="rId7" xr:uid="{6A8397F8-D405-4FDD-903A-DFDB7DED72B3}"/>
    <hyperlink ref="AC12" r:id="rId8" xr:uid="{C581F02A-2E87-4400-AAC2-19A3AE70B3E8}"/>
    <hyperlink ref="AC13" r:id="rId9" xr:uid="{556B4B11-958F-4BA2-A4FE-D2A3BD98057A}"/>
    <hyperlink ref="AC14" r:id="rId10" xr:uid="{0441A752-0911-4FD0-8413-054CBE8E5EFC}"/>
    <hyperlink ref="AC15" r:id="rId11" xr:uid="{B36687A6-EE38-4C68-9D14-CC2C7761D6BD}"/>
    <hyperlink ref="AC16" r:id="rId12" xr:uid="{8BF8EC00-C3AE-47F5-8F64-C470D5946F08}"/>
    <hyperlink ref="AC17" r:id="rId13" xr:uid="{1DAADEB9-49A0-4B21-9A74-2F930810EEC3}"/>
    <hyperlink ref="AC18" r:id="rId14" xr:uid="{2813F0A9-7752-4FC2-ADD8-F99ACAD07813}"/>
    <hyperlink ref="AC19" r:id="rId15" xr:uid="{68A64F74-08F2-40F9-978C-6794F2FED140}"/>
    <hyperlink ref="AC20" r:id="rId16" xr:uid="{F7CF77E4-2835-4175-B00E-83F2865DC2FA}"/>
    <hyperlink ref="AC21" r:id="rId17" xr:uid="{C39D2806-52A3-4F13-AAEC-F48D0B679423}"/>
    <hyperlink ref="AC22" r:id="rId18" xr:uid="{0C196C63-976F-4A97-BE78-DABFF1902620}"/>
    <hyperlink ref="AC23" r:id="rId19" xr:uid="{AA630982-3EA3-4C21-A08D-D361F11D1C3C}"/>
    <hyperlink ref="AC24" r:id="rId20" location=":~:text=Blauw%2Dgroene%20daken%20hebben%20de,water%20bij%20de%20planten%20terecht." xr:uid="{DE20754C-FF3A-4314-82E9-0E56C202BBF7}"/>
    <hyperlink ref="AC25" r:id="rId21" xr:uid="{B67F7394-3627-4E4B-8A35-1F714261D882}"/>
    <hyperlink ref="AC26" r:id="rId22" xr:uid="{09879426-7B3E-4FDB-B0F1-7B1EE58BF5EC}"/>
    <hyperlink ref="AC27" r:id="rId23" xr:uid="{A0246A9F-0081-4261-8FAF-EA22E055D799}"/>
  </hyperlinks>
  <pageMargins left="0.7" right="0.7" top="0.75" bottom="0.75" header="0" footer="0"/>
  <pageSetup orientation="landscape" r:id="rId24"/>
  <ignoredErrors>
    <ignoredError sqref="AH3:AH27" formulaRange="1"/>
  </ignoredErrors>
  <legacyDrawing r:id="rId2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9ED4C-1471-4A80-8739-ABEE2F1BB818}">
  <sheetPr>
    <tabColor theme="9"/>
  </sheetPr>
  <dimension ref="A1:AJ118"/>
  <sheetViews>
    <sheetView zoomScale="65" zoomScaleNormal="68" workbookViewId="0">
      <selection activeCell="B2" sqref="B2"/>
    </sheetView>
  </sheetViews>
  <sheetFormatPr baseColWidth="10" defaultRowHeight="15" x14ac:dyDescent="0.25"/>
  <cols>
    <col min="1" max="1" width="7" style="174" customWidth="1"/>
    <col min="2" max="2" width="14.42578125" style="174" customWidth="1"/>
    <col min="3" max="3" width="21.140625" style="174" customWidth="1"/>
    <col min="4" max="4" width="21.7109375" style="174" customWidth="1"/>
    <col min="5" max="5" width="17.42578125" style="174" customWidth="1"/>
    <col min="6" max="7" width="24.7109375" style="174" customWidth="1"/>
    <col min="8" max="8" width="18" style="174" customWidth="1"/>
    <col min="9" max="9" width="18.42578125" style="174" customWidth="1"/>
    <col min="10" max="10" width="28.28515625" style="174" customWidth="1"/>
    <col min="11" max="11" width="18.140625" style="174" customWidth="1"/>
    <col min="12" max="12" width="14.140625" style="174" customWidth="1"/>
    <col min="13" max="13" width="6" style="174" customWidth="1"/>
    <col min="14" max="14" width="28" style="295" customWidth="1"/>
    <col min="15" max="15" width="4.85546875" style="295" customWidth="1"/>
    <col min="16" max="19" width="12.28515625" style="174" customWidth="1"/>
    <col min="20" max="20" width="13.5703125" style="174" customWidth="1"/>
    <col min="21" max="21" width="10.42578125" style="296" customWidth="1"/>
    <col min="22" max="22" width="8.85546875" style="296" customWidth="1"/>
    <col min="23" max="23" width="18.7109375" style="174" customWidth="1"/>
    <col min="24" max="24" width="20" style="174" customWidth="1"/>
    <col min="25" max="25" width="11.42578125" style="174"/>
    <col min="26" max="26" width="13" style="174" bestFit="1" customWidth="1"/>
    <col min="27" max="33" width="11.42578125" style="174"/>
    <col min="34" max="34" width="20.140625" style="174" customWidth="1"/>
    <col min="35" max="35" width="19.85546875" style="174" customWidth="1"/>
    <col min="36" max="36" width="13.7109375" style="174" customWidth="1"/>
    <col min="37" max="16384" width="11.42578125" style="174"/>
  </cols>
  <sheetData>
    <row r="1" spans="1:36" ht="30.75" customHeight="1" x14ac:dyDescent="0.25">
      <c r="A1" s="53" t="s">
        <v>298</v>
      </c>
      <c r="B1" s="134" t="s">
        <v>299</v>
      </c>
      <c r="C1" s="134"/>
      <c r="D1" s="163"/>
      <c r="E1" s="164" t="s">
        <v>300</v>
      </c>
      <c r="F1" s="165"/>
      <c r="G1" s="166"/>
      <c r="H1" s="166"/>
      <c r="I1" s="167" t="s">
        <v>301</v>
      </c>
      <c r="J1" s="168"/>
      <c r="K1" s="169"/>
      <c r="L1" s="135" t="s">
        <v>302</v>
      </c>
      <c r="M1" s="170"/>
      <c r="N1" s="136" t="s">
        <v>303</v>
      </c>
      <c r="O1" s="171"/>
      <c r="P1" s="131" t="s">
        <v>304</v>
      </c>
      <c r="Q1" s="131"/>
      <c r="R1" s="131"/>
      <c r="S1" s="131"/>
      <c r="T1" s="172"/>
      <c r="U1" s="132" t="s">
        <v>305</v>
      </c>
      <c r="V1" s="173"/>
      <c r="W1" s="133" t="s">
        <v>306</v>
      </c>
      <c r="Y1" s="174">
        <v>3027.9592859999998</v>
      </c>
    </row>
    <row r="2" spans="1:36" ht="30.75" customHeight="1" x14ac:dyDescent="0.25">
      <c r="A2" s="53"/>
      <c r="B2" s="53" t="s">
        <v>307</v>
      </c>
      <c r="C2" s="53" t="s">
        <v>44</v>
      </c>
      <c r="D2" s="175" t="s">
        <v>308</v>
      </c>
      <c r="E2" s="176" t="s">
        <v>309</v>
      </c>
      <c r="F2" s="53" t="s">
        <v>310</v>
      </c>
      <c r="G2" s="53" t="s">
        <v>311</v>
      </c>
      <c r="H2" s="177" t="s">
        <v>312</v>
      </c>
      <c r="I2" s="176" t="s">
        <v>313</v>
      </c>
      <c r="J2" s="53" t="s">
        <v>314</v>
      </c>
      <c r="K2" s="177" t="s">
        <v>311</v>
      </c>
      <c r="L2" s="135"/>
      <c r="M2" s="178"/>
      <c r="N2" s="136"/>
      <c r="O2" s="179"/>
      <c r="P2" s="53" t="s">
        <v>315</v>
      </c>
      <c r="Q2" s="53" t="s">
        <v>316</v>
      </c>
      <c r="R2" s="53" t="s">
        <v>317</v>
      </c>
      <c r="S2" s="53" t="s">
        <v>318</v>
      </c>
      <c r="T2" s="180" t="s">
        <v>319</v>
      </c>
      <c r="U2" s="132"/>
      <c r="V2" s="181"/>
      <c r="W2" s="133"/>
      <c r="X2" s="301" t="s">
        <v>320</v>
      </c>
      <c r="Y2" s="302" t="s">
        <v>321</v>
      </c>
    </row>
    <row r="3" spans="1:36" s="228" customFormat="1" ht="41.25" customHeight="1" thickBot="1" x14ac:dyDescent="0.3">
      <c r="A3" s="300">
        <v>1</v>
      </c>
      <c r="B3" s="182" t="s">
        <v>322</v>
      </c>
      <c r="C3" s="183" t="s">
        <v>323</v>
      </c>
      <c r="D3" s="184" t="s">
        <v>324</v>
      </c>
      <c r="E3" s="185">
        <f>7413.73-E4</f>
        <v>4253.4799999999996</v>
      </c>
      <c r="F3" s="56" t="s">
        <v>325</v>
      </c>
      <c r="G3" s="56" t="s">
        <v>326</v>
      </c>
      <c r="H3" s="186" t="s">
        <v>327</v>
      </c>
      <c r="I3" s="185">
        <v>954.63</v>
      </c>
      <c r="J3" s="56" t="s">
        <v>328</v>
      </c>
      <c r="K3" s="186" t="s">
        <v>326</v>
      </c>
      <c r="L3" s="187">
        <f>E3+E4+I3</f>
        <v>8368.3599999999988</v>
      </c>
      <c r="M3" s="188">
        <f>IF(L3&gt;$Y$1,(1),(0))</f>
        <v>1</v>
      </c>
      <c r="N3" s="189" t="s">
        <v>329</v>
      </c>
      <c r="O3" s="190">
        <f>IF(N3=$Y$2,(1),(0))</f>
        <v>0</v>
      </c>
      <c r="P3" s="191">
        <v>1</v>
      </c>
      <c r="Q3" s="192">
        <v>1</v>
      </c>
      <c r="R3" s="192">
        <v>1</v>
      </c>
      <c r="S3" s="192">
        <v>1</v>
      </c>
      <c r="T3" s="193">
        <f>P3+Q3+R3+S3</f>
        <v>4</v>
      </c>
      <c r="U3" s="194"/>
      <c r="V3" s="195">
        <f>IF(U3="si",(1),(0))</f>
        <v>0</v>
      </c>
      <c r="W3" s="192">
        <v>4</v>
      </c>
      <c r="X3" s="196">
        <f>(M3+O3+T3+V3)*W3</f>
        <v>20</v>
      </c>
      <c r="Y3" s="303"/>
    </row>
    <row r="4" spans="1:36" ht="28.5" customHeight="1" thickBot="1" x14ac:dyDescent="0.3">
      <c r="A4" s="127"/>
      <c r="B4" s="197"/>
      <c r="C4" s="130"/>
      <c r="D4" s="198" t="s">
        <v>330</v>
      </c>
      <c r="E4" s="176">
        <v>3160.25</v>
      </c>
      <c r="F4" s="53" t="s">
        <v>325</v>
      </c>
      <c r="G4" s="53" t="s">
        <v>331</v>
      </c>
      <c r="H4" s="177" t="s">
        <v>332</v>
      </c>
      <c r="I4" s="176"/>
      <c r="J4" s="53"/>
      <c r="K4" s="177"/>
      <c r="L4" s="199"/>
      <c r="M4" s="200"/>
      <c r="N4" s="201"/>
      <c r="O4" s="202"/>
      <c r="P4" s="203" t="s">
        <v>333</v>
      </c>
      <c r="Q4" s="204"/>
      <c r="R4" s="204"/>
      <c r="S4" s="204"/>
      <c r="T4" s="204"/>
      <c r="U4" s="205"/>
      <c r="V4" s="205"/>
      <c r="W4" s="204"/>
      <c r="X4" s="127"/>
      <c r="Z4" s="298"/>
      <c r="AA4" s="299"/>
      <c r="AH4" s="174" t="s">
        <v>307</v>
      </c>
      <c r="AI4" s="174" t="s">
        <v>44</v>
      </c>
      <c r="AJ4" s="174" t="s">
        <v>320</v>
      </c>
    </row>
    <row r="5" spans="1:36" ht="28.5" customHeight="1" x14ac:dyDescent="0.25">
      <c r="A5" s="193">
        <v>2</v>
      </c>
      <c r="B5" s="206" t="s">
        <v>322</v>
      </c>
      <c r="C5" s="207" t="s">
        <v>334</v>
      </c>
      <c r="D5" s="208" t="s">
        <v>335</v>
      </c>
      <c r="E5" s="209">
        <v>549.04</v>
      </c>
      <c r="F5" s="53" t="s">
        <v>336</v>
      </c>
      <c r="G5" s="53" t="s">
        <v>331</v>
      </c>
      <c r="H5" s="177" t="s">
        <v>337</v>
      </c>
      <c r="I5" s="176">
        <v>3.42</v>
      </c>
      <c r="J5" s="53" t="s">
        <v>328</v>
      </c>
      <c r="K5" s="177" t="s">
        <v>338</v>
      </c>
      <c r="L5" s="210">
        <f>E5+E6+I5+I6</f>
        <v>2044.16</v>
      </c>
      <c r="M5" s="188">
        <f>IF(L5&gt;$Y$1,(1),(0))</f>
        <v>0</v>
      </c>
      <c r="N5" s="190"/>
      <c r="O5" s="190">
        <f>IF(N5=$Y$2,(1),(0))</f>
        <v>0</v>
      </c>
      <c r="P5" s="206">
        <v>1</v>
      </c>
      <c r="Q5" s="193">
        <v>1</v>
      </c>
      <c r="R5" s="211">
        <v>1</v>
      </c>
      <c r="S5" s="193">
        <v>1</v>
      </c>
      <c r="T5" s="193">
        <f>P5+Q5+R5+S5</f>
        <v>4</v>
      </c>
      <c r="U5" s="212" t="s">
        <v>5</v>
      </c>
      <c r="V5" s="195">
        <f t="shared" ref="V5:V68" si="0">IF(U5="si",(1),(0))</f>
        <v>1</v>
      </c>
      <c r="W5" s="193">
        <v>4</v>
      </c>
      <c r="X5" s="127">
        <f>(M5+O5+T5+V5)*W5</f>
        <v>20</v>
      </c>
      <c r="AH5" s="213" t="s">
        <v>322</v>
      </c>
      <c r="AI5" s="174" t="s">
        <v>341</v>
      </c>
      <c r="AJ5" s="174">
        <v>20</v>
      </c>
    </row>
    <row r="6" spans="1:36" ht="28.5" customHeight="1" x14ac:dyDescent="0.25">
      <c r="A6" s="204"/>
      <c r="B6" s="203"/>
      <c r="C6" s="214"/>
      <c r="D6" s="215"/>
      <c r="E6" s="176">
        <f>2025.31-E5</f>
        <v>1476.27</v>
      </c>
      <c r="F6" s="53" t="s">
        <v>342</v>
      </c>
      <c r="G6" s="53" t="s">
        <v>331</v>
      </c>
      <c r="H6" s="177" t="s">
        <v>327</v>
      </c>
      <c r="I6" s="176">
        <v>15.43</v>
      </c>
      <c r="J6" s="53" t="s">
        <v>342</v>
      </c>
      <c r="K6" s="177" t="s">
        <v>331</v>
      </c>
      <c r="L6" s="199"/>
      <c r="M6" s="200"/>
      <c r="N6" s="202"/>
      <c r="O6" s="202"/>
      <c r="P6" s="203"/>
      <c r="Q6" s="204"/>
      <c r="R6" s="216"/>
      <c r="S6" s="204"/>
      <c r="T6" s="204"/>
      <c r="U6" s="217"/>
      <c r="V6" s="205"/>
      <c r="W6" s="204"/>
      <c r="X6" s="127"/>
      <c r="AH6" s="213"/>
      <c r="AI6" s="174" t="s">
        <v>334</v>
      </c>
      <c r="AJ6" s="174">
        <v>20</v>
      </c>
    </row>
    <row r="7" spans="1:36" ht="28.5" customHeight="1" x14ac:dyDescent="0.25">
      <c r="A7" s="53">
        <v>3</v>
      </c>
      <c r="B7" s="218" t="s">
        <v>322</v>
      </c>
      <c r="C7" s="219" t="s">
        <v>346</v>
      </c>
      <c r="D7" s="220" t="s">
        <v>347</v>
      </c>
      <c r="E7" s="176"/>
      <c r="F7" s="53"/>
      <c r="G7" s="53"/>
      <c r="H7" s="177"/>
      <c r="I7" s="176">
        <v>369.06</v>
      </c>
      <c r="J7" s="53" t="s">
        <v>325</v>
      </c>
      <c r="K7" s="53" t="s">
        <v>338</v>
      </c>
      <c r="L7" s="221">
        <f>I7</f>
        <v>369.06</v>
      </c>
      <c r="M7" s="222">
        <f>IF(L7&gt;$Y$1,(1),(0))</f>
        <v>0</v>
      </c>
      <c r="N7" s="59"/>
      <c r="O7" s="223">
        <f>IF(N5=$Y$2,(1),(0))</f>
        <v>0</v>
      </c>
      <c r="P7" s="224">
        <v>1</v>
      </c>
      <c r="Q7" s="53">
        <v>1</v>
      </c>
      <c r="R7" s="177">
        <v>1</v>
      </c>
      <c r="S7" s="225">
        <v>1</v>
      </c>
      <c r="T7" s="225">
        <f>P7+Q7+R7+S7</f>
        <v>4</v>
      </c>
      <c r="U7" s="61" t="s">
        <v>5</v>
      </c>
      <c r="V7" s="226">
        <f t="shared" si="0"/>
        <v>1</v>
      </c>
      <c r="W7" s="53">
        <v>4</v>
      </c>
      <c r="X7" s="53">
        <f>(M7+O7+T7+V7)*W7</f>
        <v>20</v>
      </c>
      <c r="AH7" s="213"/>
      <c r="AI7" s="174" t="s">
        <v>346</v>
      </c>
      <c r="AJ7" s="174">
        <v>20</v>
      </c>
    </row>
    <row r="8" spans="1:36" ht="28.5" customHeight="1" x14ac:dyDescent="0.25">
      <c r="A8" s="127">
        <v>4</v>
      </c>
      <c r="B8" s="206" t="s">
        <v>322</v>
      </c>
      <c r="C8" s="207" t="s">
        <v>351</v>
      </c>
      <c r="D8" s="208" t="s">
        <v>352</v>
      </c>
      <c r="E8" s="176">
        <v>468.99</v>
      </c>
      <c r="F8" s="53" t="s">
        <v>353</v>
      </c>
      <c r="G8" s="53" t="s">
        <v>354</v>
      </c>
      <c r="H8" s="177" t="s">
        <v>327</v>
      </c>
      <c r="I8" s="176"/>
      <c r="J8" s="53"/>
      <c r="K8" s="177"/>
      <c r="L8" s="210">
        <f>E8+E9</f>
        <v>2153.91</v>
      </c>
      <c r="M8" s="188">
        <f>IF(L8&gt;$Y$1,(1),(0))</f>
        <v>0</v>
      </c>
      <c r="N8" s="190"/>
      <c r="O8" s="190">
        <f>IF(N8=$Y$2,(1),(0))</f>
        <v>0</v>
      </c>
      <c r="P8" s="206">
        <v>1</v>
      </c>
      <c r="Q8" s="193"/>
      <c r="R8" s="193"/>
      <c r="S8" s="193">
        <v>1</v>
      </c>
      <c r="T8" s="193">
        <f>P8+Q8+R8+S8</f>
        <v>2</v>
      </c>
      <c r="U8" s="212"/>
      <c r="V8" s="195">
        <f t="shared" si="0"/>
        <v>0</v>
      </c>
      <c r="W8" s="193">
        <v>2</v>
      </c>
      <c r="X8" s="127">
        <f>(M8+O8+T8+V8)*W8</f>
        <v>4</v>
      </c>
      <c r="AH8" s="174" t="s">
        <v>357</v>
      </c>
      <c r="AI8" s="174" t="s">
        <v>358</v>
      </c>
      <c r="AJ8" s="174">
        <v>25</v>
      </c>
    </row>
    <row r="9" spans="1:36" ht="28.5" customHeight="1" x14ac:dyDescent="0.25">
      <c r="A9" s="127"/>
      <c r="B9" s="203"/>
      <c r="C9" s="214"/>
      <c r="D9" s="215"/>
      <c r="E9" s="176">
        <v>1684.92</v>
      </c>
      <c r="F9" s="53" t="s">
        <v>359</v>
      </c>
      <c r="G9" s="53" t="s">
        <v>360</v>
      </c>
      <c r="H9" s="177" t="s">
        <v>327</v>
      </c>
      <c r="I9" s="176"/>
      <c r="J9" s="53"/>
      <c r="K9" s="177"/>
      <c r="L9" s="199"/>
      <c r="M9" s="200"/>
      <c r="N9" s="202"/>
      <c r="O9" s="202"/>
      <c r="P9" s="203"/>
      <c r="Q9" s="204"/>
      <c r="R9" s="204"/>
      <c r="S9" s="204"/>
      <c r="T9" s="204"/>
      <c r="U9" s="217"/>
      <c r="V9" s="205"/>
      <c r="W9" s="204"/>
      <c r="X9" s="127"/>
      <c r="AH9" s="227" t="s">
        <v>339</v>
      </c>
      <c r="AI9" s="228" t="s">
        <v>340</v>
      </c>
      <c r="AJ9" s="228">
        <v>35</v>
      </c>
    </row>
    <row r="10" spans="1:36" ht="28.5" customHeight="1" x14ac:dyDescent="0.25">
      <c r="A10" s="127">
        <v>5</v>
      </c>
      <c r="B10" s="127" t="s">
        <v>339</v>
      </c>
      <c r="C10" s="130" t="s">
        <v>340</v>
      </c>
      <c r="D10" s="229" t="s">
        <v>362</v>
      </c>
      <c r="E10" s="230">
        <v>6536.43</v>
      </c>
      <c r="F10" s="53" t="s">
        <v>363</v>
      </c>
      <c r="G10" s="53" t="s">
        <v>331</v>
      </c>
      <c r="H10" s="177" t="s">
        <v>338</v>
      </c>
      <c r="I10" s="176">
        <v>640.89</v>
      </c>
      <c r="J10" s="54" t="s">
        <v>364</v>
      </c>
      <c r="K10" s="177" t="s">
        <v>365</v>
      </c>
      <c r="L10" s="129">
        <f>E10+I10+E11</f>
        <v>14875.740000000002</v>
      </c>
      <c r="M10" s="231">
        <f>IF(L10&gt;$Y$1,(1),(0))</f>
        <v>1</v>
      </c>
      <c r="N10" s="129" t="s">
        <v>321</v>
      </c>
      <c r="O10" s="231">
        <f>IF(N10=$Y$2,(1),(0))</f>
        <v>1</v>
      </c>
      <c r="P10" s="127">
        <v>1</v>
      </c>
      <c r="Q10" s="127">
        <v>1</v>
      </c>
      <c r="R10" s="127">
        <v>1</v>
      </c>
      <c r="S10" s="127">
        <v>1</v>
      </c>
      <c r="T10" s="232">
        <f>P10+Q10+R10+S10</f>
        <v>4</v>
      </c>
      <c r="U10" s="128" t="s">
        <v>5</v>
      </c>
      <c r="V10" s="233">
        <f t="shared" si="0"/>
        <v>1</v>
      </c>
      <c r="W10" s="127">
        <v>5</v>
      </c>
      <c r="X10" s="127">
        <f>(M10+O10+T10+V10)*W10</f>
        <v>35</v>
      </c>
      <c r="AH10" s="227"/>
      <c r="AI10" s="174" t="s">
        <v>355</v>
      </c>
      <c r="AJ10" s="174">
        <v>25</v>
      </c>
    </row>
    <row r="11" spans="1:36" ht="28.5" customHeight="1" x14ac:dyDescent="0.25">
      <c r="A11" s="204"/>
      <c r="B11" s="203"/>
      <c r="C11" s="214"/>
      <c r="D11" s="215"/>
      <c r="E11" s="230">
        <f>14234.85-E10</f>
        <v>7698.42</v>
      </c>
      <c r="F11" s="53" t="s">
        <v>363</v>
      </c>
      <c r="G11" s="53" t="s">
        <v>338</v>
      </c>
      <c r="H11" s="177" t="s">
        <v>338</v>
      </c>
      <c r="I11" s="176"/>
      <c r="J11" s="53"/>
      <c r="K11" s="177"/>
      <c r="L11" s="234"/>
      <c r="M11" s="200"/>
      <c r="N11" s="201"/>
      <c r="O11" s="202"/>
      <c r="P11" s="203"/>
      <c r="Q11" s="204"/>
      <c r="R11" s="204"/>
      <c r="S11" s="204"/>
      <c r="T11" s="204"/>
      <c r="U11" s="205"/>
      <c r="V11" s="205"/>
      <c r="W11" s="204"/>
      <c r="X11" s="204"/>
      <c r="AH11" s="227"/>
      <c r="AI11" s="174" t="s">
        <v>366</v>
      </c>
      <c r="AJ11" s="174">
        <v>20</v>
      </c>
    </row>
    <row r="12" spans="1:36" s="228" customFormat="1" x14ac:dyDescent="0.25">
      <c r="A12" s="56">
        <v>6</v>
      </c>
      <c r="B12" s="235" t="s">
        <v>339</v>
      </c>
      <c r="C12" s="58" t="s">
        <v>366</v>
      </c>
      <c r="D12" s="184" t="s">
        <v>367</v>
      </c>
      <c r="E12" s="236">
        <v>314.01</v>
      </c>
      <c r="F12" s="56" t="s">
        <v>363</v>
      </c>
      <c r="G12" s="56" t="s">
        <v>326</v>
      </c>
      <c r="H12" s="186" t="s">
        <v>35</v>
      </c>
      <c r="I12" s="185">
        <v>5137.3100000000004</v>
      </c>
      <c r="J12" s="56" t="s">
        <v>328</v>
      </c>
      <c r="K12" s="186" t="s">
        <v>365</v>
      </c>
      <c r="L12" s="237">
        <f>I12+E12</f>
        <v>5451.3200000000006</v>
      </c>
      <c r="M12" s="222">
        <f>IF(L12&gt;$Y$1,(1),(0))</f>
        <v>1</v>
      </c>
      <c r="N12" s="55" t="s">
        <v>321</v>
      </c>
      <c r="O12" s="223">
        <f>IF(N10=$Y$2,(1),(0))</f>
        <v>1</v>
      </c>
      <c r="P12" s="235"/>
      <c r="Q12" s="56">
        <v>1</v>
      </c>
      <c r="R12" s="186">
        <v>1</v>
      </c>
      <c r="S12" s="238">
        <v>1</v>
      </c>
      <c r="T12" s="238">
        <f>P12+Q12+R12+S12</f>
        <v>3</v>
      </c>
      <c r="U12" s="57"/>
      <c r="V12" s="239">
        <f t="shared" si="0"/>
        <v>0</v>
      </c>
      <c r="W12" s="56">
        <v>4</v>
      </c>
      <c r="X12" s="56">
        <f>(M12+O12+T12+V12)*W12</f>
        <v>20</v>
      </c>
      <c r="AG12" s="174"/>
      <c r="AH12" s="227"/>
      <c r="AI12" s="174" t="s">
        <v>369</v>
      </c>
      <c r="AJ12" s="174">
        <v>15</v>
      </c>
    </row>
    <row r="13" spans="1:36" ht="28.5" customHeight="1" x14ac:dyDescent="0.25">
      <c r="A13" s="193">
        <v>7</v>
      </c>
      <c r="B13" s="206" t="s">
        <v>339</v>
      </c>
      <c r="C13" s="207" t="s">
        <v>370</v>
      </c>
      <c r="D13" s="208" t="s">
        <v>371</v>
      </c>
      <c r="E13" s="230">
        <v>314.60000000000002</v>
      </c>
      <c r="F13" s="53" t="s">
        <v>372</v>
      </c>
      <c r="G13" s="53" t="s">
        <v>331</v>
      </c>
      <c r="H13" s="177" t="s">
        <v>327</v>
      </c>
      <c r="I13" s="176"/>
      <c r="J13" s="53"/>
      <c r="K13" s="177"/>
      <c r="L13" s="240">
        <f>E13+E14</f>
        <v>3052.56</v>
      </c>
      <c r="M13" s="188">
        <f>IF(L13&gt;$Y$1,(1),(0))</f>
        <v>1</v>
      </c>
      <c r="N13" s="241"/>
      <c r="O13" s="190">
        <f>IF(N13=$Y$2,(1),(0))</f>
        <v>0</v>
      </c>
      <c r="P13" s="206"/>
      <c r="Q13" s="193"/>
      <c r="R13" s="193"/>
      <c r="S13" s="193">
        <v>1</v>
      </c>
      <c r="T13" s="193">
        <f>P13+Q13+R13+S13</f>
        <v>1</v>
      </c>
      <c r="U13" s="195"/>
      <c r="V13" s="195">
        <f t="shared" si="0"/>
        <v>0</v>
      </c>
      <c r="W13" s="193">
        <v>3</v>
      </c>
      <c r="X13" s="127">
        <f>(M13+O13+T13+V13)*W13</f>
        <v>6</v>
      </c>
      <c r="AH13" s="213" t="s">
        <v>343</v>
      </c>
      <c r="AI13" s="174" t="s">
        <v>344</v>
      </c>
      <c r="AJ13" s="174">
        <v>35</v>
      </c>
    </row>
    <row r="14" spans="1:36" ht="28.5" customHeight="1" x14ac:dyDescent="0.25">
      <c r="A14" s="204"/>
      <c r="B14" s="203"/>
      <c r="C14" s="214"/>
      <c r="D14" s="215"/>
      <c r="E14" s="230">
        <f>3052.56-E13</f>
        <v>2737.96</v>
      </c>
      <c r="F14" s="53" t="s">
        <v>342</v>
      </c>
      <c r="G14" s="53" t="s">
        <v>331</v>
      </c>
      <c r="H14" s="175" t="s">
        <v>337</v>
      </c>
      <c r="I14" s="176"/>
      <c r="J14" s="53"/>
      <c r="K14" s="177"/>
      <c r="L14" s="242"/>
      <c r="M14" s="200"/>
      <c r="N14" s="201"/>
      <c r="O14" s="202"/>
      <c r="P14" s="203"/>
      <c r="Q14" s="204"/>
      <c r="R14" s="204"/>
      <c r="S14" s="204"/>
      <c r="T14" s="204"/>
      <c r="U14" s="205"/>
      <c r="V14" s="205"/>
      <c r="W14" s="204"/>
      <c r="X14" s="127"/>
      <c r="AH14" s="213"/>
    </row>
    <row r="15" spans="1:36" ht="28.5" customHeight="1" x14ac:dyDescent="0.25">
      <c r="A15" s="127">
        <v>8</v>
      </c>
      <c r="B15" s="232" t="s">
        <v>339</v>
      </c>
      <c r="C15" s="127" t="s">
        <v>369</v>
      </c>
      <c r="D15" s="208" t="s">
        <v>367</v>
      </c>
      <c r="E15" s="230">
        <v>209.12429399999999</v>
      </c>
      <c r="F15" s="53" t="s">
        <v>378</v>
      </c>
      <c r="G15" s="53" t="s">
        <v>331</v>
      </c>
      <c r="H15" s="175" t="s">
        <v>327</v>
      </c>
      <c r="I15" s="176"/>
      <c r="J15" s="53"/>
      <c r="K15" s="177"/>
      <c r="L15" s="240">
        <f>E15+E16+E17</f>
        <v>1531.7342939999999</v>
      </c>
      <c r="M15" s="243">
        <f>IF(L15&gt;$Y$1,(1),(0))</f>
        <v>0</v>
      </c>
      <c r="N15" s="241"/>
      <c r="O15" s="244">
        <f>IF(N15=$Y$2,(1),(0))</f>
        <v>0</v>
      </c>
      <c r="P15" s="206"/>
      <c r="Q15" s="193">
        <v>1</v>
      </c>
      <c r="R15" s="193">
        <v>1</v>
      </c>
      <c r="S15" s="193">
        <v>1</v>
      </c>
      <c r="T15" s="193">
        <f>P15+Q15+R15+S15</f>
        <v>3</v>
      </c>
      <c r="U15" s="195"/>
      <c r="V15" s="195">
        <f t="shared" si="0"/>
        <v>0</v>
      </c>
      <c r="W15" s="193">
        <v>5</v>
      </c>
      <c r="X15" s="127">
        <f>(M15+O15+T15+V15)*W15</f>
        <v>15</v>
      </c>
      <c r="AH15" s="213" t="s">
        <v>368</v>
      </c>
      <c r="AI15" s="174" t="s">
        <v>380</v>
      </c>
      <c r="AJ15" s="174">
        <v>15</v>
      </c>
    </row>
    <row r="16" spans="1:36" ht="28.5" customHeight="1" x14ac:dyDescent="0.25">
      <c r="A16" s="127"/>
      <c r="B16" s="213"/>
      <c r="C16" s="127"/>
      <c r="D16" s="245"/>
      <c r="E16" s="230">
        <v>1018.22</v>
      </c>
      <c r="F16" s="53" t="s">
        <v>372</v>
      </c>
      <c r="G16" s="53" t="s">
        <v>331</v>
      </c>
      <c r="H16" s="174" t="s">
        <v>332</v>
      </c>
      <c r="I16" s="176"/>
      <c r="J16" s="53"/>
      <c r="K16" s="177"/>
      <c r="L16" s="246"/>
      <c r="M16" s="247"/>
      <c r="N16" s="189"/>
      <c r="O16" s="248"/>
      <c r="P16" s="249"/>
      <c r="Q16" s="250"/>
      <c r="R16" s="250"/>
      <c r="S16" s="250"/>
      <c r="T16" s="250"/>
      <c r="U16" s="251"/>
      <c r="V16" s="251"/>
      <c r="W16" s="250"/>
      <c r="X16" s="127"/>
      <c r="AH16" s="213"/>
    </row>
    <row r="17" spans="1:36" ht="28.5" customHeight="1" x14ac:dyDescent="0.25">
      <c r="A17" s="127"/>
      <c r="B17" s="252"/>
      <c r="C17" s="127"/>
      <c r="D17" s="215"/>
      <c r="E17" s="230">
        <v>304.39</v>
      </c>
      <c r="F17" s="53" t="s">
        <v>342</v>
      </c>
      <c r="G17" s="53" t="s">
        <v>331</v>
      </c>
      <c r="H17" s="177" t="s">
        <v>337</v>
      </c>
      <c r="I17" s="176"/>
      <c r="J17" s="53"/>
      <c r="K17" s="177"/>
      <c r="L17" s="242"/>
      <c r="M17" s="253"/>
      <c r="N17" s="201"/>
      <c r="O17" s="254"/>
      <c r="P17" s="203"/>
      <c r="Q17" s="204"/>
      <c r="R17" s="204"/>
      <c r="S17" s="204"/>
      <c r="T17" s="204"/>
      <c r="U17" s="205"/>
      <c r="V17" s="205"/>
      <c r="W17" s="204"/>
      <c r="X17" s="127"/>
      <c r="AH17" s="174" t="s">
        <v>376</v>
      </c>
      <c r="AI17" s="174" t="s">
        <v>379</v>
      </c>
      <c r="AJ17" s="174">
        <v>20</v>
      </c>
    </row>
    <row r="18" spans="1:36" ht="28.5" customHeight="1" x14ac:dyDescent="0.25">
      <c r="A18" s="127">
        <v>9</v>
      </c>
      <c r="B18" s="232" t="s">
        <v>339</v>
      </c>
      <c r="C18" s="127"/>
      <c r="D18" s="208" t="s">
        <v>384</v>
      </c>
      <c r="E18" s="230">
        <v>190.46</v>
      </c>
      <c r="F18" s="53" t="s">
        <v>325</v>
      </c>
      <c r="G18" s="53" t="s">
        <v>326</v>
      </c>
      <c r="H18" s="177" t="s">
        <v>332</v>
      </c>
      <c r="I18" s="176"/>
      <c r="J18" s="53"/>
      <c r="K18" s="177"/>
      <c r="L18" s="240">
        <f>E18+E19+E20</f>
        <v>2771.34</v>
      </c>
      <c r="M18" s="243">
        <f>IF(L18&gt;$Y$1,(1),(0))</f>
        <v>0</v>
      </c>
      <c r="N18" s="241"/>
      <c r="O18" s="244">
        <f>IF(N18=$Y$2,(1),(0))</f>
        <v>0</v>
      </c>
      <c r="P18" s="206"/>
      <c r="Q18" s="193"/>
      <c r="R18" s="193"/>
      <c r="S18" s="193">
        <v>1</v>
      </c>
      <c r="T18" s="193">
        <f>P18+Q18+R18+S18</f>
        <v>1</v>
      </c>
      <c r="U18" s="195"/>
      <c r="V18" s="195">
        <f t="shared" si="0"/>
        <v>0</v>
      </c>
      <c r="W18" s="193">
        <v>1</v>
      </c>
      <c r="X18" s="127">
        <f>(M18+O18+T18+V18)*W18</f>
        <v>1</v>
      </c>
      <c r="AH18" s="174" t="s">
        <v>374</v>
      </c>
      <c r="AI18" s="174" t="s">
        <v>387</v>
      </c>
      <c r="AJ18" s="174">
        <v>20</v>
      </c>
    </row>
    <row r="19" spans="1:36" ht="28.5" customHeight="1" x14ac:dyDescent="0.25">
      <c r="A19" s="127"/>
      <c r="B19" s="213"/>
      <c r="C19" s="127"/>
      <c r="D19" s="245"/>
      <c r="E19" s="230">
        <v>1201.77</v>
      </c>
      <c r="F19" s="53" t="s">
        <v>372</v>
      </c>
      <c r="G19" s="53" t="s">
        <v>326</v>
      </c>
      <c r="H19" s="177" t="s">
        <v>337</v>
      </c>
      <c r="I19" s="176"/>
      <c r="J19" s="53"/>
      <c r="K19" s="177"/>
      <c r="L19" s="246"/>
      <c r="M19" s="247"/>
      <c r="N19" s="189"/>
      <c r="O19" s="248"/>
      <c r="P19" s="249"/>
      <c r="Q19" s="250"/>
      <c r="R19" s="250"/>
      <c r="S19" s="250"/>
      <c r="T19" s="250"/>
      <c r="U19" s="251"/>
      <c r="V19" s="251"/>
      <c r="W19" s="250"/>
      <c r="X19" s="127"/>
      <c r="AH19" s="213" t="s">
        <v>348</v>
      </c>
      <c r="AI19" s="174" t="s">
        <v>388</v>
      </c>
      <c r="AJ19" s="174">
        <v>30</v>
      </c>
    </row>
    <row r="20" spans="1:36" ht="28.5" customHeight="1" x14ac:dyDescent="0.25">
      <c r="A20" s="127"/>
      <c r="B20" s="252"/>
      <c r="C20" s="127"/>
      <c r="D20" s="215"/>
      <c r="E20" s="230">
        <v>1379.11</v>
      </c>
      <c r="F20" s="53" t="s">
        <v>342</v>
      </c>
      <c r="G20" s="53" t="s">
        <v>331</v>
      </c>
      <c r="H20" s="177" t="s">
        <v>327</v>
      </c>
      <c r="I20" s="176"/>
      <c r="J20" s="53"/>
      <c r="K20" s="177"/>
      <c r="L20" s="242"/>
      <c r="M20" s="253"/>
      <c r="N20" s="201"/>
      <c r="O20" s="254"/>
      <c r="P20" s="203"/>
      <c r="Q20" s="204"/>
      <c r="R20" s="204"/>
      <c r="S20" s="204"/>
      <c r="T20" s="204"/>
      <c r="U20" s="205"/>
      <c r="V20" s="205"/>
      <c r="W20" s="204"/>
      <c r="X20" s="127"/>
      <c r="AH20" s="213"/>
      <c r="AI20" s="174" t="s">
        <v>381</v>
      </c>
      <c r="AJ20" s="174">
        <v>16</v>
      </c>
    </row>
    <row r="21" spans="1:36" s="228" customFormat="1" x14ac:dyDescent="0.25">
      <c r="A21" s="56">
        <v>10</v>
      </c>
      <c r="B21" s="56" t="s">
        <v>339</v>
      </c>
      <c r="C21" s="56" t="s">
        <v>355</v>
      </c>
      <c r="D21" s="255" t="s">
        <v>391</v>
      </c>
      <c r="E21" s="236">
        <v>3511.5</v>
      </c>
      <c r="F21" s="56" t="s">
        <v>363</v>
      </c>
      <c r="G21" s="56" t="s">
        <v>338</v>
      </c>
      <c r="H21" s="186" t="s">
        <v>338</v>
      </c>
      <c r="I21" s="185"/>
      <c r="J21" s="56"/>
      <c r="K21" s="186"/>
      <c r="L21" s="55">
        <f>E21</f>
        <v>3511.5</v>
      </c>
      <c r="M21" s="222">
        <f>IF(L21&gt;$Y$1,(1),(0))</f>
        <v>1</v>
      </c>
      <c r="N21" s="55"/>
      <c r="O21" s="256">
        <f>IF(N21=$Y$2,(1),(0))</f>
        <v>0</v>
      </c>
      <c r="P21" s="56">
        <v>1</v>
      </c>
      <c r="Q21" s="56">
        <v>1</v>
      </c>
      <c r="R21" s="56">
        <v>1</v>
      </c>
      <c r="S21" s="56">
        <v>1</v>
      </c>
      <c r="T21" s="257">
        <f>P21+Q21+R21+S21</f>
        <v>4</v>
      </c>
      <c r="U21" s="57"/>
      <c r="V21" s="258">
        <f t="shared" si="0"/>
        <v>0</v>
      </c>
      <c r="W21" s="56">
        <v>5</v>
      </c>
      <c r="X21" s="56">
        <f>(M21+O21+T21+V21)*W21</f>
        <v>25</v>
      </c>
      <c r="AG21" s="174"/>
      <c r="AH21" s="213"/>
      <c r="AI21" s="174"/>
      <c r="AJ21" s="174"/>
    </row>
    <row r="22" spans="1:36" ht="28.5" customHeight="1" x14ac:dyDescent="0.25">
      <c r="A22" s="259">
        <v>11</v>
      </c>
      <c r="B22" s="180" t="s">
        <v>339</v>
      </c>
      <c r="C22" s="259"/>
      <c r="D22" s="220" t="s">
        <v>394</v>
      </c>
      <c r="E22" s="230">
        <v>196.04040800000001</v>
      </c>
      <c r="F22" s="53" t="s">
        <v>363</v>
      </c>
      <c r="G22" s="53" t="s">
        <v>338</v>
      </c>
      <c r="H22" s="177" t="s">
        <v>338</v>
      </c>
      <c r="I22" s="176"/>
      <c r="J22" s="53"/>
      <c r="K22" s="177"/>
      <c r="L22" s="260">
        <f>E22</f>
        <v>196.04040800000001</v>
      </c>
      <c r="M22" s="222">
        <f>IF(L22&gt;$Y$1,(1),(0))</f>
        <v>0</v>
      </c>
      <c r="N22" s="261"/>
      <c r="O22" s="223">
        <f>IF(N22=$Y$2,(1),(0))</f>
        <v>0</v>
      </c>
      <c r="P22" s="218"/>
      <c r="Q22" s="259"/>
      <c r="R22" s="262"/>
      <c r="S22" s="263">
        <v>1</v>
      </c>
      <c r="T22" s="225">
        <f>P22+Q22+R22+S22</f>
        <v>1</v>
      </c>
      <c r="U22" s="264"/>
      <c r="V22" s="226">
        <f t="shared" si="0"/>
        <v>0</v>
      </c>
      <c r="W22" s="259">
        <v>3</v>
      </c>
      <c r="X22" s="259">
        <f>(M22+O22+T22+V22)*W22</f>
        <v>3</v>
      </c>
    </row>
    <row r="23" spans="1:36" ht="28.5" customHeight="1" x14ac:dyDescent="0.25">
      <c r="A23" s="53">
        <v>12</v>
      </c>
      <c r="B23" s="180" t="s">
        <v>339</v>
      </c>
      <c r="C23" s="54" t="s">
        <v>397</v>
      </c>
      <c r="D23" s="54" t="s">
        <v>397</v>
      </c>
      <c r="E23" s="230">
        <v>842.09</v>
      </c>
      <c r="F23" s="53" t="s">
        <v>372</v>
      </c>
      <c r="G23" s="53" t="s">
        <v>331</v>
      </c>
      <c r="H23" s="177" t="s">
        <v>338</v>
      </c>
      <c r="I23" s="176"/>
      <c r="J23" s="53"/>
      <c r="K23" s="177"/>
      <c r="L23" s="260">
        <f>E23</f>
        <v>842.09</v>
      </c>
      <c r="M23" s="222">
        <f>IF(L23&gt;$Y$1,(1),(0))</f>
        <v>0</v>
      </c>
      <c r="N23" s="55"/>
      <c r="O23" s="223">
        <f>IF(N23=$Y$2,(1),(0))</f>
        <v>0</v>
      </c>
      <c r="P23" s="224"/>
      <c r="Q23" s="53">
        <v>1</v>
      </c>
      <c r="R23" s="177"/>
      <c r="S23" s="225">
        <v>1</v>
      </c>
      <c r="T23" s="225">
        <f>P23+Q23+R23+S23</f>
        <v>2</v>
      </c>
      <c r="U23" s="61"/>
      <c r="V23" s="226">
        <f t="shared" si="0"/>
        <v>0</v>
      </c>
      <c r="W23" s="53">
        <v>3</v>
      </c>
      <c r="X23" s="53">
        <f>(M23+O23+T23+V23)*W23</f>
        <v>6</v>
      </c>
    </row>
    <row r="24" spans="1:36" ht="28.5" customHeight="1" x14ac:dyDescent="0.25">
      <c r="A24" s="53">
        <v>13</v>
      </c>
      <c r="B24" s="180" t="s">
        <v>339</v>
      </c>
      <c r="C24" s="220" t="s">
        <v>399</v>
      </c>
      <c r="D24" s="220" t="s">
        <v>399</v>
      </c>
      <c r="E24" s="230">
        <v>802.12</v>
      </c>
      <c r="F24" s="53" t="s">
        <v>342</v>
      </c>
      <c r="G24" s="53" t="s">
        <v>331</v>
      </c>
      <c r="H24" s="177" t="s">
        <v>327</v>
      </c>
      <c r="I24" s="176"/>
      <c r="J24" s="53"/>
      <c r="K24" s="177"/>
      <c r="L24" s="260">
        <f>E24</f>
        <v>802.12</v>
      </c>
      <c r="M24" s="222">
        <f>IF(L24&gt;$Y$1,(1),(0))</f>
        <v>0</v>
      </c>
      <c r="N24" s="55"/>
      <c r="O24" s="223">
        <f>IF(N24=$Y$2,(1),(0))</f>
        <v>0</v>
      </c>
      <c r="P24" s="224"/>
      <c r="Q24" s="53">
        <v>1</v>
      </c>
      <c r="R24" s="177"/>
      <c r="S24" s="225">
        <v>1</v>
      </c>
      <c r="T24" s="225">
        <f>P24+Q24+R24+S24</f>
        <v>2</v>
      </c>
      <c r="U24" s="61"/>
      <c r="V24" s="226">
        <f t="shared" si="0"/>
        <v>0</v>
      </c>
      <c r="W24" s="53">
        <v>2</v>
      </c>
      <c r="X24" s="53">
        <f>(M24+O24+T24+V24)*W24</f>
        <v>4</v>
      </c>
    </row>
    <row r="25" spans="1:36" ht="28.5" customHeight="1" x14ac:dyDescent="0.25">
      <c r="A25" s="127">
        <v>14</v>
      </c>
      <c r="B25" s="206" t="s">
        <v>339</v>
      </c>
      <c r="C25" s="207" t="s">
        <v>401</v>
      </c>
      <c r="D25" s="220" t="s">
        <v>401</v>
      </c>
      <c r="E25" s="230">
        <v>1926.82</v>
      </c>
      <c r="F25" s="53" t="s">
        <v>372</v>
      </c>
      <c r="G25" s="53" t="s">
        <v>338</v>
      </c>
      <c r="H25" s="177" t="s">
        <v>327</v>
      </c>
      <c r="I25" s="176"/>
      <c r="J25" s="53"/>
      <c r="K25" s="177"/>
      <c r="L25" s="240">
        <f>E25+E26+E27</f>
        <v>3276.8367429999998</v>
      </c>
      <c r="M25" s="243">
        <f>IF(L25&gt;$Y$1,(1),(0))</f>
        <v>1</v>
      </c>
      <c r="N25" s="241"/>
      <c r="O25" s="244">
        <f>IF(N25=$Y$2,(1),(0))</f>
        <v>0</v>
      </c>
      <c r="P25" s="193"/>
      <c r="Q25" s="193"/>
      <c r="R25" s="193">
        <v>1</v>
      </c>
      <c r="S25" s="193">
        <v>1</v>
      </c>
      <c r="T25" s="193">
        <f>P25+Q25+R25+S25</f>
        <v>2</v>
      </c>
      <c r="U25" s="195"/>
      <c r="V25" s="195">
        <f t="shared" si="0"/>
        <v>0</v>
      </c>
      <c r="W25" s="193">
        <v>2</v>
      </c>
      <c r="X25" s="127">
        <f>(M25+O25+T25+V25)*W25</f>
        <v>6</v>
      </c>
    </row>
    <row r="26" spans="1:36" ht="28.5" customHeight="1" x14ac:dyDescent="0.25">
      <c r="A26" s="127"/>
      <c r="B26" s="249"/>
      <c r="C26" s="265"/>
      <c r="D26" s="220" t="s">
        <v>401</v>
      </c>
      <c r="E26" s="230">
        <v>91.061019000000002</v>
      </c>
      <c r="F26" s="53" t="s">
        <v>325</v>
      </c>
      <c r="G26" s="53" t="s">
        <v>338</v>
      </c>
      <c r="H26" s="177" t="s">
        <v>327</v>
      </c>
      <c r="I26" s="176"/>
      <c r="J26" s="53"/>
      <c r="K26" s="177"/>
      <c r="L26" s="246"/>
      <c r="M26" s="247"/>
      <c r="N26" s="189"/>
      <c r="O26" s="248"/>
      <c r="P26" s="250"/>
      <c r="Q26" s="250"/>
      <c r="R26" s="250"/>
      <c r="S26" s="250"/>
      <c r="T26" s="250"/>
      <c r="U26" s="251"/>
      <c r="V26" s="251"/>
      <c r="W26" s="250"/>
      <c r="X26" s="127"/>
    </row>
    <row r="27" spans="1:36" ht="28.5" customHeight="1" x14ac:dyDescent="0.25">
      <c r="A27" s="127"/>
      <c r="B27" s="203"/>
      <c r="C27" s="214"/>
      <c r="D27" s="220" t="s">
        <v>404</v>
      </c>
      <c r="E27" s="230">
        <v>1258.9557239999999</v>
      </c>
      <c r="F27" s="53" t="s">
        <v>342</v>
      </c>
      <c r="G27" s="53" t="s">
        <v>331</v>
      </c>
      <c r="H27" s="177" t="s">
        <v>327</v>
      </c>
      <c r="I27" s="176"/>
      <c r="J27" s="53"/>
      <c r="K27" s="177"/>
      <c r="L27" s="242"/>
      <c r="M27" s="253"/>
      <c r="N27" s="201"/>
      <c r="O27" s="254"/>
      <c r="P27" s="204"/>
      <c r="Q27" s="204"/>
      <c r="R27" s="204"/>
      <c r="S27" s="204"/>
      <c r="T27" s="204"/>
      <c r="U27" s="205"/>
      <c r="V27" s="205"/>
      <c r="W27" s="204"/>
      <c r="X27" s="127"/>
    </row>
    <row r="28" spans="1:36" ht="28.5" customHeight="1" x14ac:dyDescent="0.25">
      <c r="A28" s="53">
        <v>15</v>
      </c>
      <c r="B28" s="218" t="s">
        <v>339</v>
      </c>
      <c r="C28" s="219"/>
      <c r="D28" s="220" t="s">
        <v>406</v>
      </c>
      <c r="E28" s="230">
        <v>562.05999999999995</v>
      </c>
      <c r="F28" s="53" t="s">
        <v>363</v>
      </c>
      <c r="G28" s="53" t="s">
        <v>338</v>
      </c>
      <c r="H28" s="177" t="s">
        <v>338</v>
      </c>
      <c r="I28" s="176"/>
      <c r="J28" s="53"/>
      <c r="K28" s="177"/>
      <c r="L28" s="260">
        <f>E28</f>
        <v>562.05999999999995</v>
      </c>
      <c r="M28" s="266">
        <f t="shared" ref="M28:M39" si="1">IF(L28&gt;$Y$1,(1),(0))</f>
        <v>0</v>
      </c>
      <c r="N28" s="55"/>
      <c r="O28" s="223">
        <f t="shared" ref="O28:O39" si="2">IF(N28=$Y$2,(1),(0))</f>
        <v>0</v>
      </c>
      <c r="P28" s="224"/>
      <c r="Q28" s="53"/>
      <c r="R28" s="177"/>
      <c r="S28" s="225">
        <v>1</v>
      </c>
      <c r="T28" s="225">
        <f>P28+Q28+R28+S28</f>
        <v>1</v>
      </c>
      <c r="U28" s="61"/>
      <c r="V28" s="226">
        <f t="shared" si="0"/>
        <v>0</v>
      </c>
      <c r="W28" s="53">
        <v>2</v>
      </c>
      <c r="X28" s="53">
        <f t="shared" ref="X28:X39" si="3">(M28+O28+T28+V28)*W28</f>
        <v>2</v>
      </c>
    </row>
    <row r="29" spans="1:36" s="228" customFormat="1" x14ac:dyDescent="0.25">
      <c r="A29" s="56">
        <v>16</v>
      </c>
      <c r="B29" s="58" t="s">
        <v>343</v>
      </c>
      <c r="C29" s="58" t="s">
        <v>344</v>
      </c>
      <c r="D29" s="267" t="s">
        <v>407</v>
      </c>
      <c r="E29" s="185">
        <v>17694.86</v>
      </c>
      <c r="F29" s="56" t="s">
        <v>325</v>
      </c>
      <c r="G29" s="56" t="s">
        <v>331</v>
      </c>
      <c r="H29" s="186" t="s">
        <v>35</v>
      </c>
      <c r="I29" s="185">
        <v>2184.87</v>
      </c>
      <c r="J29" s="56" t="s">
        <v>328</v>
      </c>
      <c r="K29" s="186" t="s">
        <v>326</v>
      </c>
      <c r="L29" s="59">
        <f>E29+I29</f>
        <v>19879.73</v>
      </c>
      <c r="M29" s="266">
        <f t="shared" si="1"/>
        <v>1</v>
      </c>
      <c r="N29" s="55" t="s">
        <v>321</v>
      </c>
      <c r="O29" s="256">
        <f t="shared" si="2"/>
        <v>1</v>
      </c>
      <c r="P29" s="56">
        <v>1</v>
      </c>
      <c r="Q29" s="56">
        <v>1</v>
      </c>
      <c r="R29" s="56">
        <v>1</v>
      </c>
      <c r="S29" s="56">
        <v>1</v>
      </c>
      <c r="T29" s="257">
        <f t="shared" ref="T29:T38" si="4">P29+Q29+R29+S29</f>
        <v>4</v>
      </c>
      <c r="U29" s="57" t="s">
        <v>5</v>
      </c>
      <c r="V29" s="258">
        <f t="shared" si="0"/>
        <v>1</v>
      </c>
      <c r="W29" s="56">
        <v>5</v>
      </c>
      <c r="X29" s="56">
        <f t="shared" si="3"/>
        <v>35</v>
      </c>
    </row>
    <row r="30" spans="1:36" ht="28.5" customHeight="1" x14ac:dyDescent="0.25">
      <c r="A30" s="259">
        <v>17</v>
      </c>
      <c r="B30" s="218" t="s">
        <v>343</v>
      </c>
      <c r="C30" s="219" t="s">
        <v>377</v>
      </c>
      <c r="D30" s="198" t="s">
        <v>408</v>
      </c>
      <c r="E30" s="176">
        <v>6040.83</v>
      </c>
      <c r="F30" s="53" t="s">
        <v>325</v>
      </c>
      <c r="G30" s="53" t="s">
        <v>326</v>
      </c>
      <c r="H30" s="177" t="s">
        <v>35</v>
      </c>
      <c r="I30" s="176"/>
      <c r="J30" s="53"/>
      <c r="K30" s="177"/>
      <c r="L30" s="221">
        <f>E30+K30</f>
        <v>6040.83</v>
      </c>
      <c r="M30" s="266">
        <f t="shared" si="1"/>
        <v>1</v>
      </c>
      <c r="N30" s="268"/>
      <c r="O30" s="223">
        <f t="shared" si="2"/>
        <v>0</v>
      </c>
      <c r="P30" s="218">
        <v>1</v>
      </c>
      <c r="Q30" s="259"/>
      <c r="R30" s="262"/>
      <c r="S30" s="263">
        <v>1</v>
      </c>
      <c r="T30" s="225">
        <f t="shared" si="4"/>
        <v>2</v>
      </c>
      <c r="U30" s="264" t="s">
        <v>5</v>
      </c>
      <c r="V30" s="226">
        <f t="shared" si="0"/>
        <v>1</v>
      </c>
      <c r="W30" s="259">
        <v>3</v>
      </c>
      <c r="X30" s="259">
        <f t="shared" si="3"/>
        <v>12</v>
      </c>
    </row>
    <row r="31" spans="1:36" ht="28.5" customHeight="1" x14ac:dyDescent="0.25">
      <c r="A31" s="53">
        <v>18</v>
      </c>
      <c r="B31" s="269" t="s">
        <v>409</v>
      </c>
      <c r="C31" s="54"/>
      <c r="D31" s="198" t="s">
        <v>410</v>
      </c>
      <c r="E31" s="270">
        <v>730.24</v>
      </c>
      <c r="F31" s="54" t="s">
        <v>342</v>
      </c>
      <c r="G31" s="198" t="s">
        <v>411</v>
      </c>
      <c r="H31" s="198" t="s">
        <v>338</v>
      </c>
      <c r="I31" s="176"/>
      <c r="J31" s="53"/>
      <c r="K31" s="177"/>
      <c r="L31" s="271">
        <f>E31+K31</f>
        <v>730.24</v>
      </c>
      <c r="M31" s="266">
        <f t="shared" si="1"/>
        <v>0</v>
      </c>
      <c r="N31" s="59"/>
      <c r="O31" s="223">
        <f t="shared" si="2"/>
        <v>0</v>
      </c>
      <c r="P31" s="224"/>
      <c r="Q31" s="53"/>
      <c r="R31" s="177"/>
      <c r="S31" s="225">
        <v>1</v>
      </c>
      <c r="T31" s="225">
        <f t="shared" si="4"/>
        <v>1</v>
      </c>
      <c r="U31" s="61"/>
      <c r="V31" s="226">
        <f t="shared" si="0"/>
        <v>0</v>
      </c>
      <c r="W31" s="53">
        <v>2</v>
      </c>
      <c r="X31" s="53">
        <f t="shared" si="3"/>
        <v>2</v>
      </c>
    </row>
    <row r="32" spans="1:36" ht="28.5" customHeight="1" x14ac:dyDescent="0.25">
      <c r="A32" s="53">
        <v>19</v>
      </c>
      <c r="B32" s="269" t="s">
        <v>409</v>
      </c>
      <c r="C32" s="54"/>
      <c r="D32" s="198" t="s">
        <v>410</v>
      </c>
      <c r="E32" s="270">
        <v>1273.57</v>
      </c>
      <c r="F32" s="54" t="s">
        <v>325</v>
      </c>
      <c r="G32" s="198" t="s">
        <v>411</v>
      </c>
      <c r="H32" s="198" t="s">
        <v>338</v>
      </c>
      <c r="I32" s="176"/>
      <c r="J32" s="53"/>
      <c r="K32" s="177"/>
      <c r="L32" s="271">
        <f>E32+K32</f>
        <v>1273.57</v>
      </c>
      <c r="M32" s="266">
        <f t="shared" si="1"/>
        <v>0</v>
      </c>
      <c r="N32" s="59"/>
      <c r="O32" s="223">
        <f t="shared" si="2"/>
        <v>0</v>
      </c>
      <c r="P32" s="224"/>
      <c r="Q32" s="53"/>
      <c r="R32" s="177"/>
      <c r="S32" s="225">
        <v>1</v>
      </c>
      <c r="T32" s="225">
        <f t="shared" si="4"/>
        <v>1</v>
      </c>
      <c r="U32" s="61"/>
      <c r="V32" s="226">
        <f t="shared" si="0"/>
        <v>0</v>
      </c>
      <c r="W32" s="53">
        <v>2</v>
      </c>
      <c r="X32" s="53">
        <f t="shared" si="3"/>
        <v>2</v>
      </c>
    </row>
    <row r="33" spans="1:24" ht="28.5" customHeight="1" x14ac:dyDescent="0.25">
      <c r="A33" s="53">
        <v>20</v>
      </c>
      <c r="B33" s="269" t="s">
        <v>409</v>
      </c>
      <c r="C33" s="54" t="s">
        <v>414</v>
      </c>
      <c r="D33" s="198"/>
      <c r="E33" s="176">
        <v>934.2</v>
      </c>
      <c r="F33" s="53" t="s">
        <v>363</v>
      </c>
      <c r="G33" s="53" t="s">
        <v>338</v>
      </c>
      <c r="H33" s="177" t="s">
        <v>338</v>
      </c>
      <c r="I33" s="176"/>
      <c r="J33" s="53"/>
      <c r="K33" s="177"/>
      <c r="L33" s="271">
        <f>E33+K33</f>
        <v>934.2</v>
      </c>
      <c r="M33" s="266">
        <f t="shared" si="1"/>
        <v>0</v>
      </c>
      <c r="N33" s="59"/>
      <c r="O33" s="223">
        <f t="shared" si="2"/>
        <v>0</v>
      </c>
      <c r="P33" s="224"/>
      <c r="Q33" s="53"/>
      <c r="R33" s="177"/>
      <c r="S33" s="225">
        <v>1</v>
      </c>
      <c r="T33" s="225">
        <f t="shared" si="4"/>
        <v>1</v>
      </c>
      <c r="U33" s="61"/>
      <c r="V33" s="226">
        <f t="shared" si="0"/>
        <v>0</v>
      </c>
      <c r="W33" s="53">
        <v>1</v>
      </c>
      <c r="X33" s="53">
        <f t="shared" si="3"/>
        <v>1</v>
      </c>
    </row>
    <row r="34" spans="1:24" ht="28.5" customHeight="1" x14ac:dyDescent="0.25">
      <c r="A34" s="53">
        <v>21</v>
      </c>
      <c r="B34" s="269" t="s">
        <v>409</v>
      </c>
      <c r="C34" s="54"/>
      <c r="D34" s="198" t="s">
        <v>416</v>
      </c>
      <c r="E34" s="176">
        <v>1120.3</v>
      </c>
      <c r="F34" s="53" t="s">
        <v>325</v>
      </c>
      <c r="G34" s="53" t="s">
        <v>411</v>
      </c>
      <c r="H34" s="177" t="s">
        <v>327</v>
      </c>
      <c r="I34" s="176"/>
      <c r="J34" s="53"/>
      <c r="K34" s="177"/>
      <c r="L34" s="271">
        <f>E34+K34</f>
        <v>1120.3</v>
      </c>
      <c r="M34" s="266">
        <f t="shared" si="1"/>
        <v>0</v>
      </c>
      <c r="N34" s="59"/>
      <c r="O34" s="223">
        <f t="shared" si="2"/>
        <v>0</v>
      </c>
      <c r="P34" s="224"/>
      <c r="Q34" s="53"/>
      <c r="R34" s="177"/>
      <c r="S34" s="225">
        <v>1</v>
      </c>
      <c r="T34" s="225">
        <f t="shared" si="4"/>
        <v>1</v>
      </c>
      <c r="U34" s="61"/>
      <c r="V34" s="226">
        <f t="shared" si="0"/>
        <v>0</v>
      </c>
      <c r="W34" s="53">
        <v>1</v>
      </c>
      <c r="X34" s="53">
        <f t="shared" si="3"/>
        <v>1</v>
      </c>
    </row>
    <row r="35" spans="1:24" ht="28.5" customHeight="1" x14ac:dyDescent="0.25">
      <c r="A35" s="53">
        <v>22</v>
      </c>
      <c r="B35" s="269" t="s">
        <v>409</v>
      </c>
      <c r="C35" s="54"/>
      <c r="D35" s="198" t="s">
        <v>418</v>
      </c>
      <c r="E35" s="176">
        <v>329.48</v>
      </c>
      <c r="F35" s="53" t="s">
        <v>363</v>
      </c>
      <c r="G35" s="53" t="s">
        <v>338</v>
      </c>
      <c r="H35" s="177" t="s">
        <v>338</v>
      </c>
      <c r="I35" s="176">
        <v>201.94</v>
      </c>
      <c r="J35" s="53" t="s">
        <v>419</v>
      </c>
      <c r="K35" s="177" t="s">
        <v>331</v>
      </c>
      <c r="L35" s="271">
        <f>E35+I35</f>
        <v>531.42000000000007</v>
      </c>
      <c r="M35" s="266">
        <f t="shared" si="1"/>
        <v>0</v>
      </c>
      <c r="N35" s="59"/>
      <c r="O35" s="223">
        <f t="shared" si="2"/>
        <v>0</v>
      </c>
      <c r="P35" s="224"/>
      <c r="Q35" s="53"/>
      <c r="R35" s="177"/>
      <c r="S35" s="225">
        <v>1</v>
      </c>
      <c r="T35" s="225">
        <f t="shared" si="4"/>
        <v>1</v>
      </c>
      <c r="U35" s="61"/>
      <c r="V35" s="226">
        <f t="shared" si="0"/>
        <v>0</v>
      </c>
      <c r="W35" s="53">
        <v>1</v>
      </c>
      <c r="X35" s="53">
        <f t="shared" si="3"/>
        <v>1</v>
      </c>
    </row>
    <row r="36" spans="1:24" ht="28.5" customHeight="1" x14ac:dyDescent="0.25">
      <c r="A36" s="53">
        <v>23</v>
      </c>
      <c r="B36" s="269" t="s">
        <v>409</v>
      </c>
      <c r="C36" s="54" t="s">
        <v>412</v>
      </c>
      <c r="D36" s="198" t="s">
        <v>421</v>
      </c>
      <c r="E36" s="176">
        <v>650.41999999999996</v>
      </c>
      <c r="F36" s="53" t="s">
        <v>422</v>
      </c>
      <c r="G36" s="53" t="s">
        <v>331</v>
      </c>
      <c r="H36" s="177" t="s">
        <v>327</v>
      </c>
      <c r="I36" s="176"/>
      <c r="J36" s="53"/>
      <c r="K36" s="177"/>
      <c r="L36" s="271">
        <f>E36+I36</f>
        <v>650.41999999999996</v>
      </c>
      <c r="M36" s="266">
        <f t="shared" si="1"/>
        <v>0</v>
      </c>
      <c r="N36" s="59"/>
      <c r="O36" s="223">
        <f t="shared" si="2"/>
        <v>0</v>
      </c>
      <c r="P36" s="224"/>
      <c r="Q36" s="53">
        <v>1</v>
      </c>
      <c r="R36" s="177"/>
      <c r="S36" s="225">
        <v>1</v>
      </c>
      <c r="T36" s="225">
        <f t="shared" si="4"/>
        <v>2</v>
      </c>
      <c r="U36" s="61"/>
      <c r="V36" s="226">
        <f t="shared" si="0"/>
        <v>0</v>
      </c>
      <c r="W36" s="53">
        <v>3</v>
      </c>
      <c r="X36" s="53">
        <f t="shared" si="3"/>
        <v>6</v>
      </c>
    </row>
    <row r="37" spans="1:24" ht="28.5" customHeight="1" x14ac:dyDescent="0.25">
      <c r="A37" s="53">
        <v>24</v>
      </c>
      <c r="B37" s="269" t="s">
        <v>409</v>
      </c>
      <c r="C37" s="54" t="s">
        <v>424</v>
      </c>
      <c r="D37" s="198" t="s">
        <v>425</v>
      </c>
      <c r="E37" s="176">
        <v>673.42</v>
      </c>
      <c r="F37" s="53" t="s">
        <v>353</v>
      </c>
      <c r="G37" s="53" t="s">
        <v>326</v>
      </c>
      <c r="H37" s="177" t="s">
        <v>327</v>
      </c>
      <c r="I37" s="176">
        <v>169.16</v>
      </c>
      <c r="J37" s="53" t="s">
        <v>426</v>
      </c>
      <c r="K37" s="177" t="s">
        <v>365</v>
      </c>
      <c r="L37" s="271">
        <f>E37+I37</f>
        <v>842.57999999999993</v>
      </c>
      <c r="M37" s="266">
        <f t="shared" si="1"/>
        <v>0</v>
      </c>
      <c r="N37" s="59"/>
      <c r="O37" s="223">
        <f t="shared" si="2"/>
        <v>0</v>
      </c>
      <c r="P37" s="224"/>
      <c r="Q37" s="53"/>
      <c r="R37" s="177"/>
      <c r="S37" s="225">
        <v>1</v>
      </c>
      <c r="T37" s="225">
        <f t="shared" si="4"/>
        <v>1</v>
      </c>
      <c r="U37" s="61"/>
      <c r="V37" s="226">
        <f t="shared" si="0"/>
        <v>0</v>
      </c>
      <c r="W37" s="53">
        <v>3</v>
      </c>
      <c r="X37" s="53">
        <f t="shared" si="3"/>
        <v>3</v>
      </c>
    </row>
    <row r="38" spans="1:24" ht="28.5" customHeight="1" x14ac:dyDescent="0.25">
      <c r="A38" s="53">
        <v>25</v>
      </c>
      <c r="B38" s="269" t="s">
        <v>409</v>
      </c>
      <c r="C38" s="54" t="s">
        <v>395</v>
      </c>
      <c r="D38" s="198"/>
      <c r="E38" s="176">
        <v>1886.93</v>
      </c>
      <c r="F38" s="53" t="s">
        <v>325</v>
      </c>
      <c r="G38" s="53" t="s">
        <v>331</v>
      </c>
      <c r="H38" s="177" t="s">
        <v>327</v>
      </c>
      <c r="I38" s="176"/>
      <c r="J38" s="53"/>
      <c r="K38" s="177"/>
      <c r="L38" s="271">
        <f>E38+I38</f>
        <v>1886.93</v>
      </c>
      <c r="M38" s="266">
        <f t="shared" si="1"/>
        <v>0</v>
      </c>
      <c r="N38" s="59"/>
      <c r="O38" s="223">
        <f t="shared" si="2"/>
        <v>0</v>
      </c>
      <c r="P38" s="224">
        <v>1</v>
      </c>
      <c r="Q38" s="53">
        <v>1</v>
      </c>
      <c r="R38" s="177"/>
      <c r="S38" s="225">
        <v>1</v>
      </c>
      <c r="T38" s="225">
        <f t="shared" si="4"/>
        <v>3</v>
      </c>
      <c r="U38" s="61"/>
      <c r="V38" s="226">
        <f t="shared" si="0"/>
        <v>0</v>
      </c>
      <c r="W38" s="53">
        <v>3</v>
      </c>
      <c r="X38" s="53">
        <f t="shared" si="3"/>
        <v>9</v>
      </c>
    </row>
    <row r="39" spans="1:24" ht="28.5" customHeight="1" x14ac:dyDescent="0.25">
      <c r="A39" s="193">
        <v>26</v>
      </c>
      <c r="B39" s="207" t="s">
        <v>409</v>
      </c>
      <c r="C39" s="207"/>
      <c r="D39" s="208" t="s">
        <v>428</v>
      </c>
      <c r="E39" s="176">
        <v>1614.74</v>
      </c>
      <c r="F39" s="53" t="s">
        <v>372</v>
      </c>
      <c r="G39" s="53" t="s">
        <v>331</v>
      </c>
      <c r="H39" s="177" t="s">
        <v>327</v>
      </c>
      <c r="I39" s="176">
        <v>834.25</v>
      </c>
      <c r="J39" s="53" t="s">
        <v>426</v>
      </c>
      <c r="K39" s="177" t="s">
        <v>429</v>
      </c>
      <c r="L39" s="210">
        <f>E39+I39:I40</f>
        <v>2448.9899999999998</v>
      </c>
      <c r="M39" s="243">
        <f t="shared" si="1"/>
        <v>0</v>
      </c>
      <c r="N39" s="190"/>
      <c r="O39" s="190">
        <f t="shared" si="2"/>
        <v>0</v>
      </c>
      <c r="P39" s="193"/>
      <c r="Q39" s="193"/>
      <c r="R39" s="193"/>
      <c r="S39" s="193">
        <v>1</v>
      </c>
      <c r="T39" s="193">
        <f>P39+Q39+R39+S39</f>
        <v>1</v>
      </c>
      <c r="U39" s="195"/>
      <c r="V39" s="195">
        <f t="shared" si="0"/>
        <v>0</v>
      </c>
      <c r="W39" s="193">
        <v>1</v>
      </c>
      <c r="X39" s="127">
        <f t="shared" si="3"/>
        <v>1</v>
      </c>
    </row>
    <row r="40" spans="1:24" ht="28.5" customHeight="1" x14ac:dyDescent="0.25">
      <c r="A40" s="204"/>
      <c r="B40" s="214"/>
      <c r="C40" s="214"/>
      <c r="D40" s="215"/>
      <c r="E40" s="176"/>
      <c r="F40" s="53"/>
      <c r="G40" s="53"/>
      <c r="H40" s="177"/>
      <c r="I40" s="176">
        <v>157.76</v>
      </c>
      <c r="J40" s="53" t="s">
        <v>419</v>
      </c>
      <c r="K40" s="177" t="s">
        <v>430</v>
      </c>
      <c r="L40" s="199"/>
      <c r="M40" s="253"/>
      <c r="N40" s="202"/>
      <c r="O40" s="202"/>
      <c r="P40" s="204"/>
      <c r="Q40" s="204"/>
      <c r="R40" s="204"/>
      <c r="S40" s="204"/>
      <c r="T40" s="204"/>
      <c r="U40" s="205"/>
      <c r="V40" s="205"/>
      <c r="W40" s="204"/>
      <c r="X40" s="127"/>
    </row>
    <row r="41" spans="1:24" ht="28.5" customHeight="1" x14ac:dyDescent="0.25">
      <c r="A41" s="53">
        <v>27</v>
      </c>
      <c r="B41" s="269" t="s">
        <v>409</v>
      </c>
      <c r="C41" s="54" t="s">
        <v>432</v>
      </c>
      <c r="D41" s="198"/>
      <c r="E41" s="176"/>
      <c r="F41" s="53"/>
      <c r="G41" s="53"/>
      <c r="H41" s="177"/>
      <c r="I41" s="176">
        <v>400.76</v>
      </c>
      <c r="J41" s="53" t="s">
        <v>419</v>
      </c>
      <c r="K41" s="177" t="s">
        <v>331</v>
      </c>
      <c r="L41" s="271">
        <f>I41</f>
        <v>400.76</v>
      </c>
      <c r="M41" s="266">
        <f t="shared" ref="M41:M63" si="5">IF(L41&gt;$Y$1,(1),(0))</f>
        <v>0</v>
      </c>
      <c r="N41" s="59"/>
      <c r="O41" s="223">
        <f t="shared" ref="O41:O63" si="6">IF(N41=$Y$2,(1),(0))</f>
        <v>0</v>
      </c>
      <c r="P41" s="224"/>
      <c r="Q41" s="53"/>
      <c r="R41" s="177"/>
      <c r="S41" s="225">
        <v>1</v>
      </c>
      <c r="T41" s="225">
        <f>P41+Q41+R41+S41</f>
        <v>1</v>
      </c>
      <c r="U41" s="61"/>
      <c r="V41" s="226">
        <f t="shared" si="0"/>
        <v>0</v>
      </c>
      <c r="W41" s="53">
        <v>2</v>
      </c>
      <c r="X41" s="53">
        <f t="shared" ref="X41:X63" si="7">(M41+O41+T41+V41)*W41</f>
        <v>2</v>
      </c>
    </row>
    <row r="42" spans="1:24" ht="28.5" customHeight="1" x14ac:dyDescent="0.25">
      <c r="A42" s="53">
        <v>28</v>
      </c>
      <c r="B42" s="269" t="s">
        <v>409</v>
      </c>
      <c r="C42" s="54" t="s">
        <v>400</v>
      </c>
      <c r="D42" s="198"/>
      <c r="E42" s="176">
        <v>5527.63</v>
      </c>
      <c r="F42" s="53" t="s">
        <v>378</v>
      </c>
      <c r="G42" s="53" t="s">
        <v>331</v>
      </c>
      <c r="H42" s="177" t="s">
        <v>327</v>
      </c>
      <c r="I42" s="176"/>
      <c r="J42" s="53"/>
      <c r="K42" s="177"/>
      <c r="L42" s="271">
        <f>E42</f>
        <v>5527.63</v>
      </c>
      <c r="M42" s="266">
        <f t="shared" si="5"/>
        <v>1</v>
      </c>
      <c r="N42" s="59"/>
      <c r="O42" s="223">
        <f t="shared" si="6"/>
        <v>0</v>
      </c>
      <c r="P42" s="224">
        <v>1</v>
      </c>
      <c r="Q42" s="53">
        <v>1</v>
      </c>
      <c r="R42" s="177"/>
      <c r="S42" s="225">
        <v>1</v>
      </c>
      <c r="T42" s="225">
        <f t="shared" ref="T42:T62" si="8">P42+Q42+R42+S42</f>
        <v>3</v>
      </c>
      <c r="U42" s="61"/>
      <c r="V42" s="226">
        <f t="shared" si="0"/>
        <v>0</v>
      </c>
      <c r="W42" s="53">
        <v>2</v>
      </c>
      <c r="X42" s="53">
        <f t="shared" si="7"/>
        <v>8</v>
      </c>
    </row>
    <row r="43" spans="1:24" ht="28.5" customHeight="1" x14ac:dyDescent="0.25">
      <c r="A43" s="53">
        <v>29</v>
      </c>
      <c r="B43" s="269" t="s">
        <v>409</v>
      </c>
      <c r="C43" s="54" t="s">
        <v>434</v>
      </c>
      <c r="D43" s="198" t="s">
        <v>435</v>
      </c>
      <c r="E43" s="176"/>
      <c r="F43" s="53"/>
      <c r="G43" s="53"/>
      <c r="H43" s="177"/>
      <c r="I43" s="176">
        <v>85.79</v>
      </c>
      <c r="J43" s="53" t="s">
        <v>419</v>
      </c>
      <c r="K43" s="177" t="s">
        <v>338</v>
      </c>
      <c r="L43" s="271">
        <f>E43+I43</f>
        <v>85.79</v>
      </c>
      <c r="M43" s="266">
        <f t="shared" si="5"/>
        <v>0</v>
      </c>
      <c r="N43" s="59"/>
      <c r="O43" s="223">
        <f t="shared" si="6"/>
        <v>0</v>
      </c>
      <c r="P43" s="224"/>
      <c r="Q43" s="53">
        <v>1</v>
      </c>
      <c r="R43" s="177"/>
      <c r="S43" s="225">
        <v>1</v>
      </c>
      <c r="T43" s="225">
        <f t="shared" si="8"/>
        <v>2</v>
      </c>
      <c r="U43" s="61"/>
      <c r="V43" s="226">
        <f t="shared" si="0"/>
        <v>0</v>
      </c>
      <c r="W43" s="53">
        <v>1</v>
      </c>
      <c r="X43" s="53">
        <f t="shared" si="7"/>
        <v>2</v>
      </c>
    </row>
    <row r="44" spans="1:24" ht="28.5" customHeight="1" x14ac:dyDescent="0.25">
      <c r="A44" s="53">
        <v>30</v>
      </c>
      <c r="B44" s="269" t="s">
        <v>409</v>
      </c>
      <c r="C44" s="54"/>
      <c r="D44" s="198" t="s">
        <v>436</v>
      </c>
      <c r="E44" s="176"/>
      <c r="F44" s="53"/>
      <c r="G44" s="53"/>
      <c r="H44" s="177"/>
      <c r="I44" s="176">
        <v>54.42</v>
      </c>
      <c r="J44" s="53" t="s">
        <v>419</v>
      </c>
      <c r="K44" s="177" t="s">
        <v>411</v>
      </c>
      <c r="L44" s="271">
        <f>I44</f>
        <v>54.42</v>
      </c>
      <c r="M44" s="266">
        <f t="shared" si="5"/>
        <v>0</v>
      </c>
      <c r="N44" s="59"/>
      <c r="O44" s="223">
        <f t="shared" si="6"/>
        <v>0</v>
      </c>
      <c r="P44" s="224"/>
      <c r="Q44" s="53"/>
      <c r="R44" s="177"/>
      <c r="S44" s="225">
        <v>1</v>
      </c>
      <c r="T44" s="225">
        <f t="shared" si="8"/>
        <v>1</v>
      </c>
      <c r="U44" s="61"/>
      <c r="V44" s="226">
        <f t="shared" si="0"/>
        <v>0</v>
      </c>
      <c r="W44" s="53">
        <v>1</v>
      </c>
      <c r="X44" s="53">
        <f t="shared" si="7"/>
        <v>1</v>
      </c>
    </row>
    <row r="45" spans="1:24" ht="28.5" customHeight="1" x14ac:dyDescent="0.25">
      <c r="A45" s="53">
        <v>31</v>
      </c>
      <c r="B45" s="269" t="s">
        <v>409</v>
      </c>
      <c r="C45" s="54" t="s">
        <v>438</v>
      </c>
      <c r="D45" s="54"/>
      <c r="E45" s="176">
        <v>1523.76</v>
      </c>
      <c r="F45" s="53" t="s">
        <v>342</v>
      </c>
      <c r="G45" s="53" t="s">
        <v>331</v>
      </c>
      <c r="H45" s="177" t="s">
        <v>327</v>
      </c>
      <c r="I45" s="176"/>
      <c r="J45" s="53"/>
      <c r="K45" s="177"/>
      <c r="L45" s="271">
        <f>E45</f>
        <v>1523.76</v>
      </c>
      <c r="M45" s="266">
        <f t="shared" si="5"/>
        <v>0</v>
      </c>
      <c r="N45" s="59"/>
      <c r="O45" s="223">
        <f t="shared" si="6"/>
        <v>0</v>
      </c>
      <c r="P45" s="224"/>
      <c r="Q45" s="53">
        <v>1</v>
      </c>
      <c r="R45" s="177"/>
      <c r="S45" s="225">
        <v>1</v>
      </c>
      <c r="T45" s="225">
        <f t="shared" si="8"/>
        <v>2</v>
      </c>
      <c r="U45" s="61"/>
      <c r="V45" s="226">
        <f t="shared" si="0"/>
        <v>0</v>
      </c>
      <c r="W45" s="53">
        <v>1</v>
      </c>
      <c r="X45" s="53">
        <f t="shared" si="7"/>
        <v>2</v>
      </c>
    </row>
    <row r="46" spans="1:24" ht="28.5" customHeight="1" x14ac:dyDescent="0.25">
      <c r="A46" s="53">
        <v>35</v>
      </c>
      <c r="B46" s="269" t="s">
        <v>409</v>
      </c>
      <c r="C46" s="54"/>
      <c r="D46" s="198" t="s">
        <v>439</v>
      </c>
      <c r="E46" s="176"/>
      <c r="F46" s="53"/>
      <c r="G46" s="53"/>
      <c r="H46" s="177"/>
      <c r="I46" s="176">
        <v>61.03</v>
      </c>
      <c r="J46" s="53" t="s">
        <v>426</v>
      </c>
      <c r="K46" s="177" t="s">
        <v>411</v>
      </c>
      <c r="L46" s="271">
        <f>E46+I46</f>
        <v>61.03</v>
      </c>
      <c r="M46" s="266">
        <f t="shared" si="5"/>
        <v>0</v>
      </c>
      <c r="N46" s="59"/>
      <c r="O46" s="223">
        <f t="shared" si="6"/>
        <v>0</v>
      </c>
      <c r="P46" s="224"/>
      <c r="Q46" s="53"/>
      <c r="R46" s="177"/>
      <c r="S46" s="225">
        <v>1</v>
      </c>
      <c r="T46" s="225">
        <f t="shared" si="8"/>
        <v>1</v>
      </c>
      <c r="U46" s="61"/>
      <c r="V46" s="226">
        <f t="shared" si="0"/>
        <v>0</v>
      </c>
      <c r="W46" s="53">
        <v>1</v>
      </c>
      <c r="X46" s="53">
        <f t="shared" si="7"/>
        <v>1</v>
      </c>
    </row>
    <row r="47" spans="1:24" s="228" customFormat="1" ht="30" x14ac:dyDescent="0.25">
      <c r="A47" s="56">
        <v>33</v>
      </c>
      <c r="B47" s="56" t="s">
        <v>348</v>
      </c>
      <c r="C47" s="58" t="s">
        <v>349</v>
      </c>
      <c r="D47" s="272" t="s">
        <v>440</v>
      </c>
      <c r="E47" s="185">
        <v>331.81</v>
      </c>
      <c r="F47" s="56" t="s">
        <v>363</v>
      </c>
      <c r="G47" s="56" t="s">
        <v>331</v>
      </c>
      <c r="H47" s="186" t="s">
        <v>338</v>
      </c>
      <c r="I47" s="185">
        <f>548.71+667.47</f>
        <v>1216.18</v>
      </c>
      <c r="J47" s="56" t="s">
        <v>328</v>
      </c>
      <c r="K47" s="186" t="s">
        <v>411</v>
      </c>
      <c r="L47" s="59">
        <f>I47+E47</f>
        <v>1547.99</v>
      </c>
      <c r="M47" s="266">
        <f t="shared" si="5"/>
        <v>0</v>
      </c>
      <c r="N47" s="59" t="s">
        <v>321</v>
      </c>
      <c r="O47" s="256">
        <f t="shared" si="6"/>
        <v>1</v>
      </c>
      <c r="P47" s="56">
        <v>1</v>
      </c>
      <c r="Q47" s="56">
        <v>1</v>
      </c>
      <c r="R47" s="56">
        <v>1</v>
      </c>
      <c r="S47" s="56">
        <v>1</v>
      </c>
      <c r="T47" s="257">
        <f t="shared" si="8"/>
        <v>4</v>
      </c>
      <c r="U47" s="57" t="s">
        <v>5</v>
      </c>
      <c r="V47" s="258">
        <f t="shared" si="0"/>
        <v>1</v>
      </c>
      <c r="W47" s="56">
        <v>5</v>
      </c>
      <c r="X47" s="56">
        <f t="shared" si="7"/>
        <v>30</v>
      </c>
    </row>
    <row r="48" spans="1:24" ht="28.5" customHeight="1" x14ac:dyDescent="0.25">
      <c r="A48" s="259">
        <v>34</v>
      </c>
      <c r="B48" s="218" t="s">
        <v>348</v>
      </c>
      <c r="C48" s="219" t="s">
        <v>381</v>
      </c>
      <c r="D48" s="177" t="s">
        <v>441</v>
      </c>
      <c r="E48" s="176">
        <v>2757.28</v>
      </c>
      <c r="F48" s="53" t="s">
        <v>342</v>
      </c>
      <c r="G48" s="177" t="s">
        <v>338</v>
      </c>
      <c r="H48" s="177" t="s">
        <v>327</v>
      </c>
      <c r="I48" s="176"/>
      <c r="J48" s="53"/>
      <c r="K48" s="177">
        <f>L47+96</f>
        <v>1643.99</v>
      </c>
      <c r="L48" s="221"/>
      <c r="M48" s="266">
        <f t="shared" si="5"/>
        <v>0</v>
      </c>
      <c r="N48" s="268"/>
      <c r="O48" s="223">
        <f t="shared" si="6"/>
        <v>0</v>
      </c>
      <c r="P48" s="218">
        <v>1</v>
      </c>
      <c r="Q48" s="259">
        <v>1</v>
      </c>
      <c r="R48" s="262">
        <v>1</v>
      </c>
      <c r="S48" s="263">
        <v>1</v>
      </c>
      <c r="T48" s="225">
        <f t="shared" si="8"/>
        <v>4</v>
      </c>
      <c r="U48" s="264"/>
      <c r="V48" s="226">
        <f t="shared" si="0"/>
        <v>0</v>
      </c>
      <c r="W48" s="259">
        <v>4</v>
      </c>
      <c r="X48" s="259">
        <f t="shared" si="7"/>
        <v>16</v>
      </c>
    </row>
    <row r="49" spans="1:24" ht="28.5" customHeight="1" x14ac:dyDescent="0.25">
      <c r="A49" s="53">
        <v>35</v>
      </c>
      <c r="B49" s="224" t="s">
        <v>348</v>
      </c>
      <c r="C49" s="54" t="s">
        <v>389</v>
      </c>
      <c r="D49" s="177" t="s">
        <v>442</v>
      </c>
      <c r="E49" s="176">
        <v>2915.24</v>
      </c>
      <c r="F49" s="53" t="s">
        <v>342</v>
      </c>
      <c r="G49" s="177" t="s">
        <v>338</v>
      </c>
      <c r="H49" s="177" t="s">
        <v>327</v>
      </c>
      <c r="I49" s="176">
        <v>52.77</v>
      </c>
      <c r="J49" s="53" t="s">
        <v>328</v>
      </c>
      <c r="K49" s="177" t="s">
        <v>331</v>
      </c>
      <c r="L49" s="271">
        <f>E49+I49</f>
        <v>2968.0099999999998</v>
      </c>
      <c r="M49" s="266">
        <f t="shared" si="5"/>
        <v>0</v>
      </c>
      <c r="N49" s="59"/>
      <c r="O49" s="223">
        <f t="shared" si="6"/>
        <v>0</v>
      </c>
      <c r="P49" s="224">
        <v>1</v>
      </c>
      <c r="Q49" s="53">
        <v>1</v>
      </c>
      <c r="R49" s="177">
        <v>1</v>
      </c>
      <c r="S49" s="225">
        <v>1</v>
      </c>
      <c r="T49" s="225">
        <f t="shared" si="8"/>
        <v>4</v>
      </c>
      <c r="U49" s="61"/>
      <c r="V49" s="226">
        <f t="shared" si="0"/>
        <v>0</v>
      </c>
      <c r="W49" s="53">
        <v>3</v>
      </c>
      <c r="X49" s="53">
        <f t="shared" si="7"/>
        <v>12</v>
      </c>
    </row>
    <row r="50" spans="1:24" ht="28.5" customHeight="1" x14ac:dyDescent="0.25">
      <c r="A50" s="53">
        <v>36</v>
      </c>
      <c r="B50" s="224" t="s">
        <v>390</v>
      </c>
      <c r="C50" s="54" t="s">
        <v>413</v>
      </c>
      <c r="D50" s="198" t="s">
        <v>443</v>
      </c>
      <c r="E50" s="176">
        <v>433.85</v>
      </c>
      <c r="F50" s="53" t="s">
        <v>342</v>
      </c>
      <c r="G50" s="177" t="s">
        <v>338</v>
      </c>
      <c r="H50" s="177" t="s">
        <v>327</v>
      </c>
      <c r="I50" s="176"/>
      <c r="J50" s="53"/>
      <c r="K50" s="177"/>
      <c r="L50" s="271">
        <f t="shared" ref="L50:L62" si="9">E50</f>
        <v>433.85</v>
      </c>
      <c r="M50" s="266">
        <f t="shared" si="5"/>
        <v>0</v>
      </c>
      <c r="N50" s="59"/>
      <c r="O50" s="223">
        <f t="shared" si="6"/>
        <v>0</v>
      </c>
      <c r="P50" s="224"/>
      <c r="Q50" s="53">
        <v>1</v>
      </c>
      <c r="R50" s="177"/>
      <c r="S50" s="225">
        <v>1</v>
      </c>
      <c r="T50" s="225">
        <f t="shared" si="8"/>
        <v>2</v>
      </c>
      <c r="U50" s="60"/>
      <c r="V50" s="226">
        <f t="shared" si="0"/>
        <v>0</v>
      </c>
      <c r="W50" s="53">
        <v>3</v>
      </c>
      <c r="X50" s="53">
        <f t="shared" si="7"/>
        <v>6</v>
      </c>
    </row>
    <row r="51" spans="1:24" ht="28.5" customHeight="1" x14ac:dyDescent="0.25">
      <c r="A51" s="53">
        <v>37</v>
      </c>
      <c r="B51" s="224" t="s">
        <v>390</v>
      </c>
      <c r="C51" s="198" t="s">
        <v>398</v>
      </c>
      <c r="D51" s="198" t="s">
        <v>444</v>
      </c>
      <c r="E51" s="176">
        <v>1271.69</v>
      </c>
      <c r="F51" s="53" t="s">
        <v>353</v>
      </c>
      <c r="G51" s="177" t="s">
        <v>331</v>
      </c>
      <c r="H51" s="177" t="s">
        <v>327</v>
      </c>
      <c r="I51" s="176"/>
      <c r="J51" s="53"/>
      <c r="K51" s="177"/>
      <c r="L51" s="271">
        <f t="shared" si="9"/>
        <v>1271.69</v>
      </c>
      <c r="M51" s="266">
        <f t="shared" si="5"/>
        <v>0</v>
      </c>
      <c r="N51" s="59"/>
      <c r="O51" s="223">
        <f t="shared" si="6"/>
        <v>0</v>
      </c>
      <c r="P51" s="224">
        <v>1</v>
      </c>
      <c r="Q51" s="53">
        <v>1</v>
      </c>
      <c r="R51" s="177"/>
      <c r="S51" s="225">
        <v>1</v>
      </c>
      <c r="T51" s="225">
        <f t="shared" si="8"/>
        <v>3</v>
      </c>
      <c r="U51" s="60"/>
      <c r="V51" s="226">
        <f t="shared" si="0"/>
        <v>0</v>
      </c>
      <c r="W51" s="53">
        <v>3</v>
      </c>
      <c r="X51" s="53">
        <f t="shared" si="7"/>
        <v>9</v>
      </c>
    </row>
    <row r="52" spans="1:24" s="304" customFormat="1" x14ac:dyDescent="0.25">
      <c r="A52" s="53">
        <v>38</v>
      </c>
      <c r="B52" s="269" t="s">
        <v>383</v>
      </c>
      <c r="C52" s="54" t="s">
        <v>445</v>
      </c>
      <c r="D52" s="198" t="s">
        <v>446</v>
      </c>
      <c r="E52" s="270">
        <v>573.69000000000005</v>
      </c>
      <c r="F52" s="54" t="s">
        <v>342</v>
      </c>
      <c r="G52" s="198" t="s">
        <v>331</v>
      </c>
      <c r="H52" s="198" t="s">
        <v>327</v>
      </c>
      <c r="I52" s="270"/>
      <c r="J52" s="54"/>
      <c r="K52" s="198"/>
      <c r="L52" s="273">
        <f t="shared" si="9"/>
        <v>573.69000000000005</v>
      </c>
      <c r="M52" s="266">
        <f t="shared" si="5"/>
        <v>0</v>
      </c>
      <c r="N52" s="57"/>
      <c r="O52" s="223">
        <f t="shared" si="6"/>
        <v>0</v>
      </c>
      <c r="P52" s="269"/>
      <c r="Q52" s="54">
        <v>1</v>
      </c>
      <c r="R52" s="198"/>
      <c r="S52" s="225">
        <v>1</v>
      </c>
      <c r="T52" s="225">
        <f t="shared" si="8"/>
        <v>2</v>
      </c>
      <c r="U52" s="61"/>
      <c r="V52" s="226">
        <f t="shared" si="0"/>
        <v>0</v>
      </c>
      <c r="W52" s="54">
        <v>1</v>
      </c>
      <c r="X52" s="53">
        <f t="shared" si="7"/>
        <v>2</v>
      </c>
    </row>
    <row r="53" spans="1:24" s="304" customFormat="1" x14ac:dyDescent="0.25">
      <c r="A53" s="53">
        <v>39</v>
      </c>
      <c r="B53" s="269" t="s">
        <v>368</v>
      </c>
      <c r="C53" s="54" t="s">
        <v>447</v>
      </c>
      <c r="D53" s="198" t="s">
        <v>370</v>
      </c>
      <c r="E53" s="270">
        <v>4321.3100000000004</v>
      </c>
      <c r="F53" s="54" t="s">
        <v>342</v>
      </c>
      <c r="G53" s="198" t="s">
        <v>331</v>
      </c>
      <c r="H53" s="198" t="s">
        <v>327</v>
      </c>
      <c r="I53" s="270"/>
      <c r="J53" s="54"/>
      <c r="K53" s="198"/>
      <c r="L53" s="273">
        <f t="shared" si="9"/>
        <v>4321.3100000000004</v>
      </c>
      <c r="M53" s="266">
        <f t="shared" si="5"/>
        <v>1</v>
      </c>
      <c r="N53" s="57"/>
      <c r="O53" s="223">
        <f t="shared" si="6"/>
        <v>0</v>
      </c>
      <c r="P53" s="269"/>
      <c r="Q53" s="54"/>
      <c r="R53" s="198"/>
      <c r="S53" s="225">
        <v>1</v>
      </c>
      <c r="T53" s="225">
        <f t="shared" si="8"/>
        <v>1</v>
      </c>
      <c r="U53" s="61"/>
      <c r="V53" s="226">
        <f t="shared" si="0"/>
        <v>0</v>
      </c>
      <c r="W53" s="54">
        <v>1</v>
      </c>
      <c r="X53" s="53">
        <f t="shared" si="7"/>
        <v>2</v>
      </c>
    </row>
    <row r="54" spans="1:24" ht="28.5" customHeight="1" x14ac:dyDescent="0.25">
      <c r="A54" s="53">
        <v>40</v>
      </c>
      <c r="B54" s="224" t="s">
        <v>368</v>
      </c>
      <c r="C54" s="54" t="s">
        <v>449</v>
      </c>
      <c r="D54" s="198" t="s">
        <v>450</v>
      </c>
      <c r="E54" s="176">
        <v>1914.59</v>
      </c>
      <c r="F54" s="53" t="s">
        <v>342</v>
      </c>
      <c r="G54" s="177" t="s">
        <v>338</v>
      </c>
      <c r="H54" s="177" t="s">
        <v>327</v>
      </c>
      <c r="I54" s="176"/>
      <c r="J54" s="53"/>
      <c r="K54" s="177"/>
      <c r="L54" s="271">
        <f t="shared" si="9"/>
        <v>1914.59</v>
      </c>
      <c r="M54" s="266">
        <f t="shared" si="5"/>
        <v>0</v>
      </c>
      <c r="N54" s="59"/>
      <c r="O54" s="223">
        <f t="shared" si="6"/>
        <v>0</v>
      </c>
      <c r="P54" s="224"/>
      <c r="Q54" s="53"/>
      <c r="R54" s="177"/>
      <c r="S54" s="225">
        <v>1</v>
      </c>
      <c r="T54" s="225">
        <f t="shared" si="8"/>
        <v>1</v>
      </c>
      <c r="U54" s="60"/>
      <c r="V54" s="226">
        <f t="shared" si="0"/>
        <v>0</v>
      </c>
      <c r="W54" s="53">
        <v>1</v>
      </c>
      <c r="X54" s="53">
        <f t="shared" si="7"/>
        <v>1</v>
      </c>
    </row>
    <row r="55" spans="1:24" ht="28.5" customHeight="1" x14ac:dyDescent="0.25">
      <c r="A55" s="53">
        <v>41</v>
      </c>
      <c r="B55" s="224" t="s">
        <v>368</v>
      </c>
      <c r="C55" s="54" t="s">
        <v>392</v>
      </c>
      <c r="D55" s="54" t="s">
        <v>452</v>
      </c>
      <c r="E55" s="176">
        <v>4021.16</v>
      </c>
      <c r="F55" s="53" t="s">
        <v>363</v>
      </c>
      <c r="G55" s="177" t="s">
        <v>331</v>
      </c>
      <c r="H55" s="177" t="s">
        <v>338</v>
      </c>
      <c r="I55" s="176"/>
      <c r="J55" s="53"/>
      <c r="K55" s="177"/>
      <c r="L55" s="271">
        <f t="shared" si="9"/>
        <v>4021.16</v>
      </c>
      <c r="M55" s="266">
        <f t="shared" si="5"/>
        <v>1</v>
      </c>
      <c r="N55" s="59"/>
      <c r="O55" s="223">
        <f t="shared" si="6"/>
        <v>0</v>
      </c>
      <c r="P55" s="224"/>
      <c r="Q55" s="53">
        <v>1</v>
      </c>
      <c r="R55" s="177"/>
      <c r="S55" s="225">
        <v>1</v>
      </c>
      <c r="T55" s="225">
        <f t="shared" si="8"/>
        <v>2</v>
      </c>
      <c r="U55" s="60"/>
      <c r="V55" s="226">
        <f t="shared" si="0"/>
        <v>0</v>
      </c>
      <c r="W55" s="53">
        <v>4</v>
      </c>
      <c r="X55" s="53">
        <f t="shared" si="7"/>
        <v>12</v>
      </c>
    </row>
    <row r="56" spans="1:24" ht="28.5" customHeight="1" x14ac:dyDescent="0.25">
      <c r="A56" s="53">
        <v>42</v>
      </c>
      <c r="B56" s="269" t="s">
        <v>368</v>
      </c>
      <c r="C56" s="54" t="s">
        <v>448</v>
      </c>
      <c r="D56" s="198" t="s">
        <v>454</v>
      </c>
      <c r="E56" s="270">
        <v>1346.93</v>
      </c>
      <c r="F56" s="54" t="s">
        <v>353</v>
      </c>
      <c r="G56" s="198" t="s">
        <v>331</v>
      </c>
      <c r="H56" s="198" t="s">
        <v>327</v>
      </c>
      <c r="I56" s="270"/>
      <c r="J56" s="54"/>
      <c r="K56" s="198"/>
      <c r="L56" s="273">
        <f t="shared" si="9"/>
        <v>1346.93</v>
      </c>
      <c r="M56" s="266">
        <f t="shared" si="5"/>
        <v>0</v>
      </c>
      <c r="N56" s="57"/>
      <c r="O56" s="223">
        <f t="shared" si="6"/>
        <v>0</v>
      </c>
      <c r="P56" s="269"/>
      <c r="Q56" s="54">
        <v>1</v>
      </c>
      <c r="R56" s="198"/>
      <c r="S56" s="225">
        <v>1</v>
      </c>
      <c r="T56" s="225">
        <f t="shared" si="8"/>
        <v>2</v>
      </c>
      <c r="U56" s="60"/>
      <c r="V56" s="226">
        <f t="shared" si="0"/>
        <v>0</v>
      </c>
      <c r="W56" s="53">
        <v>1</v>
      </c>
      <c r="X56" s="53">
        <f t="shared" si="7"/>
        <v>2</v>
      </c>
    </row>
    <row r="57" spans="1:24" ht="28.5" customHeight="1" x14ac:dyDescent="0.25">
      <c r="A57" s="53">
        <v>43</v>
      </c>
      <c r="B57" s="269" t="s">
        <v>368</v>
      </c>
      <c r="C57" s="54" t="s">
        <v>451</v>
      </c>
      <c r="D57" s="198" t="s">
        <v>456</v>
      </c>
      <c r="E57" s="270">
        <v>1345.73</v>
      </c>
      <c r="F57" s="54" t="s">
        <v>342</v>
      </c>
      <c r="G57" s="198" t="s">
        <v>331</v>
      </c>
      <c r="H57" s="198" t="s">
        <v>327</v>
      </c>
      <c r="I57" s="270"/>
      <c r="J57" s="54"/>
      <c r="K57" s="198"/>
      <c r="L57" s="273">
        <f t="shared" si="9"/>
        <v>1345.73</v>
      </c>
      <c r="M57" s="266">
        <f t="shared" si="5"/>
        <v>0</v>
      </c>
      <c r="N57" s="57"/>
      <c r="O57" s="223">
        <f t="shared" si="6"/>
        <v>0</v>
      </c>
      <c r="P57" s="269"/>
      <c r="Q57" s="54">
        <v>1</v>
      </c>
      <c r="R57" s="198"/>
      <c r="S57" s="225">
        <v>1</v>
      </c>
      <c r="T57" s="225">
        <f t="shared" si="8"/>
        <v>2</v>
      </c>
      <c r="U57" s="60"/>
      <c r="V57" s="226">
        <f t="shared" si="0"/>
        <v>0</v>
      </c>
      <c r="W57" s="53">
        <v>1</v>
      </c>
      <c r="X57" s="53">
        <f t="shared" si="7"/>
        <v>2</v>
      </c>
    </row>
    <row r="58" spans="1:24" ht="28.5" customHeight="1" x14ac:dyDescent="0.25">
      <c r="A58" s="53">
        <v>44</v>
      </c>
      <c r="B58" s="269" t="s">
        <v>368</v>
      </c>
      <c r="C58" s="54" t="s">
        <v>457</v>
      </c>
      <c r="D58" s="198" t="s">
        <v>457</v>
      </c>
      <c r="E58" s="270">
        <v>284.56</v>
      </c>
      <c r="F58" s="54" t="s">
        <v>342</v>
      </c>
      <c r="G58" s="198" t="s">
        <v>331</v>
      </c>
      <c r="H58" s="198" t="s">
        <v>327</v>
      </c>
      <c r="I58" s="270"/>
      <c r="J58" s="54"/>
      <c r="K58" s="198"/>
      <c r="L58" s="273">
        <f t="shared" si="9"/>
        <v>284.56</v>
      </c>
      <c r="M58" s="266">
        <f t="shared" si="5"/>
        <v>0</v>
      </c>
      <c r="N58" s="57"/>
      <c r="O58" s="223">
        <f t="shared" si="6"/>
        <v>0</v>
      </c>
      <c r="P58" s="269"/>
      <c r="Q58" s="54"/>
      <c r="R58" s="198"/>
      <c r="S58" s="225">
        <v>1</v>
      </c>
      <c r="T58" s="225">
        <f t="shared" si="8"/>
        <v>1</v>
      </c>
      <c r="U58" s="60"/>
      <c r="V58" s="226">
        <f t="shared" si="0"/>
        <v>0</v>
      </c>
      <c r="W58" s="53">
        <v>1</v>
      </c>
      <c r="X58" s="53">
        <f t="shared" si="7"/>
        <v>1</v>
      </c>
    </row>
    <row r="59" spans="1:24" ht="28.5" customHeight="1" x14ac:dyDescent="0.25">
      <c r="A59" s="53">
        <v>45</v>
      </c>
      <c r="B59" s="269" t="s">
        <v>368</v>
      </c>
      <c r="C59" s="54" t="s">
        <v>458</v>
      </c>
      <c r="D59" s="198" t="s">
        <v>458</v>
      </c>
      <c r="E59" s="270">
        <v>170.7</v>
      </c>
      <c r="F59" s="54" t="s">
        <v>353</v>
      </c>
      <c r="G59" s="198" t="s">
        <v>331</v>
      </c>
      <c r="H59" s="198" t="s">
        <v>327</v>
      </c>
      <c r="I59" s="270"/>
      <c r="J59" s="54"/>
      <c r="K59" s="198"/>
      <c r="L59" s="273">
        <f t="shared" si="9"/>
        <v>170.7</v>
      </c>
      <c r="M59" s="266">
        <f t="shared" si="5"/>
        <v>0</v>
      </c>
      <c r="N59" s="57"/>
      <c r="O59" s="223">
        <f t="shared" si="6"/>
        <v>0</v>
      </c>
      <c r="P59" s="269"/>
      <c r="Q59" s="54"/>
      <c r="R59" s="198"/>
      <c r="S59" s="225">
        <v>1</v>
      </c>
      <c r="T59" s="225">
        <f t="shared" si="8"/>
        <v>1</v>
      </c>
      <c r="U59" s="60"/>
      <c r="V59" s="226">
        <f t="shared" si="0"/>
        <v>0</v>
      </c>
      <c r="W59" s="53">
        <v>1</v>
      </c>
      <c r="X59" s="53">
        <f t="shared" si="7"/>
        <v>1</v>
      </c>
    </row>
    <row r="60" spans="1:24" ht="28.5" customHeight="1" x14ac:dyDescent="0.25">
      <c r="A60" s="53">
        <v>46</v>
      </c>
      <c r="B60" s="269" t="s">
        <v>368</v>
      </c>
      <c r="C60" s="54" t="s">
        <v>385</v>
      </c>
      <c r="D60" s="198" t="s">
        <v>406</v>
      </c>
      <c r="E60" s="270">
        <v>33645.53</v>
      </c>
      <c r="F60" s="54" t="s">
        <v>342</v>
      </c>
      <c r="G60" s="198" t="s">
        <v>331</v>
      </c>
      <c r="H60" s="198" t="s">
        <v>327</v>
      </c>
      <c r="I60" s="270"/>
      <c r="J60" s="54"/>
      <c r="K60" s="198"/>
      <c r="L60" s="273">
        <f t="shared" si="9"/>
        <v>33645.53</v>
      </c>
      <c r="M60" s="266">
        <f t="shared" si="5"/>
        <v>1</v>
      </c>
      <c r="N60" s="57"/>
      <c r="O60" s="223">
        <f t="shared" si="6"/>
        <v>0</v>
      </c>
      <c r="P60" s="269">
        <v>1</v>
      </c>
      <c r="Q60" s="54">
        <v>1</v>
      </c>
      <c r="R60" s="198">
        <v>1</v>
      </c>
      <c r="S60" s="225">
        <v>1</v>
      </c>
      <c r="T60" s="225">
        <f t="shared" si="8"/>
        <v>4</v>
      </c>
      <c r="U60" s="60"/>
      <c r="V60" s="226">
        <f t="shared" si="0"/>
        <v>0</v>
      </c>
      <c r="W60" s="53">
        <v>3</v>
      </c>
      <c r="X60" s="53">
        <f t="shared" si="7"/>
        <v>15</v>
      </c>
    </row>
    <row r="61" spans="1:24" ht="28.5" customHeight="1" x14ac:dyDescent="0.25">
      <c r="A61" s="53">
        <v>47</v>
      </c>
      <c r="B61" s="269" t="s">
        <v>368</v>
      </c>
      <c r="C61" s="54" t="s">
        <v>415</v>
      </c>
      <c r="D61" s="198" t="s">
        <v>415</v>
      </c>
      <c r="E61" s="270">
        <v>2102.84</v>
      </c>
      <c r="F61" s="54" t="s">
        <v>460</v>
      </c>
      <c r="G61" s="198" t="s">
        <v>331</v>
      </c>
      <c r="H61" s="198" t="s">
        <v>327</v>
      </c>
      <c r="I61" s="270"/>
      <c r="J61" s="54"/>
      <c r="K61" s="198"/>
      <c r="L61" s="273">
        <f t="shared" si="9"/>
        <v>2102.84</v>
      </c>
      <c r="M61" s="266">
        <f t="shared" si="5"/>
        <v>0</v>
      </c>
      <c r="N61" s="57"/>
      <c r="O61" s="223">
        <f t="shared" si="6"/>
        <v>0</v>
      </c>
      <c r="P61" s="269"/>
      <c r="Q61" s="54">
        <v>1</v>
      </c>
      <c r="R61" s="198"/>
      <c r="S61" s="225">
        <v>1</v>
      </c>
      <c r="T61" s="225">
        <f t="shared" si="8"/>
        <v>2</v>
      </c>
      <c r="U61" s="60"/>
      <c r="V61" s="226">
        <f t="shared" si="0"/>
        <v>0</v>
      </c>
      <c r="W61" s="53">
        <v>3</v>
      </c>
      <c r="X61" s="53">
        <f t="shared" si="7"/>
        <v>6</v>
      </c>
    </row>
    <row r="62" spans="1:24" ht="28.5" customHeight="1" x14ac:dyDescent="0.25">
      <c r="A62" s="53">
        <v>48</v>
      </c>
      <c r="B62" s="269" t="s">
        <v>368</v>
      </c>
      <c r="C62" s="54" t="s">
        <v>453</v>
      </c>
      <c r="D62" s="54" t="s">
        <v>453</v>
      </c>
      <c r="E62" s="270">
        <v>3716.94</v>
      </c>
      <c r="F62" s="54" t="s">
        <v>342</v>
      </c>
      <c r="G62" s="198" t="s">
        <v>331</v>
      </c>
      <c r="H62" s="198" t="s">
        <v>327</v>
      </c>
      <c r="I62" s="270"/>
      <c r="J62" s="54"/>
      <c r="K62" s="198"/>
      <c r="L62" s="273">
        <f t="shared" si="9"/>
        <v>3716.94</v>
      </c>
      <c r="M62" s="266">
        <f t="shared" si="5"/>
        <v>1</v>
      </c>
      <c r="N62" s="57"/>
      <c r="O62" s="223">
        <f t="shared" si="6"/>
        <v>0</v>
      </c>
      <c r="P62" s="269"/>
      <c r="Q62" s="54"/>
      <c r="R62" s="198"/>
      <c r="S62" s="225">
        <v>1</v>
      </c>
      <c r="T62" s="225">
        <f t="shared" si="8"/>
        <v>1</v>
      </c>
      <c r="U62" s="60"/>
      <c r="V62" s="226">
        <f t="shared" si="0"/>
        <v>0</v>
      </c>
      <c r="W62" s="53">
        <v>1</v>
      </c>
      <c r="X62" s="53">
        <f t="shared" si="7"/>
        <v>2</v>
      </c>
    </row>
    <row r="63" spans="1:24" ht="28.5" customHeight="1" x14ac:dyDescent="0.25">
      <c r="A63" s="127">
        <v>49</v>
      </c>
      <c r="B63" s="274" t="s">
        <v>368</v>
      </c>
      <c r="C63" s="207" t="s">
        <v>455</v>
      </c>
      <c r="D63" s="208" t="s">
        <v>455</v>
      </c>
      <c r="E63" s="270">
        <v>54.022471000000003</v>
      </c>
      <c r="F63" s="54" t="s">
        <v>353</v>
      </c>
      <c r="G63" s="198" t="s">
        <v>338</v>
      </c>
      <c r="H63" s="198" t="s">
        <v>338</v>
      </c>
      <c r="I63" s="270"/>
      <c r="J63" s="54"/>
      <c r="K63" s="208"/>
      <c r="L63" s="275">
        <f>E64+E63</f>
        <v>4042.39</v>
      </c>
      <c r="M63" s="243">
        <f t="shared" si="5"/>
        <v>1</v>
      </c>
      <c r="N63" s="276"/>
      <c r="O63" s="190">
        <f t="shared" si="6"/>
        <v>0</v>
      </c>
      <c r="P63" s="207"/>
      <c r="Q63" s="207"/>
      <c r="R63" s="207"/>
      <c r="S63" s="193">
        <v>1</v>
      </c>
      <c r="T63" s="193">
        <f>P63+Q63+R63+S63</f>
        <v>1</v>
      </c>
      <c r="U63" s="212"/>
      <c r="V63" s="195">
        <f t="shared" si="0"/>
        <v>0</v>
      </c>
      <c r="W63" s="193">
        <v>1</v>
      </c>
      <c r="X63" s="193">
        <f t="shared" si="7"/>
        <v>2</v>
      </c>
    </row>
    <row r="64" spans="1:24" ht="28.5" customHeight="1" x14ac:dyDescent="0.25">
      <c r="A64" s="127"/>
      <c r="B64" s="277"/>
      <c r="C64" s="214"/>
      <c r="D64" s="215"/>
      <c r="E64" s="278">
        <f>4042.39-E63</f>
        <v>3988.3675289999996</v>
      </c>
      <c r="F64" s="54" t="s">
        <v>342</v>
      </c>
      <c r="G64" s="198" t="s">
        <v>331</v>
      </c>
      <c r="H64" s="198" t="s">
        <v>327</v>
      </c>
      <c r="I64" s="270"/>
      <c r="J64" s="54"/>
      <c r="K64" s="215"/>
      <c r="L64" s="279"/>
      <c r="M64" s="253"/>
      <c r="N64" s="280"/>
      <c r="O64" s="202"/>
      <c r="P64" s="214"/>
      <c r="Q64" s="214"/>
      <c r="R64" s="214"/>
      <c r="S64" s="204"/>
      <c r="T64" s="204"/>
      <c r="U64" s="217"/>
      <c r="V64" s="205"/>
      <c r="W64" s="204"/>
      <c r="X64" s="204"/>
    </row>
    <row r="65" spans="1:24" ht="28.5" customHeight="1" x14ac:dyDescent="0.25">
      <c r="A65" s="53">
        <v>50</v>
      </c>
      <c r="B65" s="54" t="s">
        <v>357</v>
      </c>
      <c r="C65" s="54" t="s">
        <v>361</v>
      </c>
      <c r="D65" s="281" t="s">
        <v>462</v>
      </c>
      <c r="E65" s="270">
        <v>20467.29</v>
      </c>
      <c r="F65" s="54" t="s">
        <v>363</v>
      </c>
      <c r="G65" s="198" t="s">
        <v>338</v>
      </c>
      <c r="H65" s="198" t="s">
        <v>338</v>
      </c>
      <c r="I65" s="270"/>
      <c r="J65" s="54"/>
      <c r="K65" s="198"/>
      <c r="L65" s="57">
        <f t="shared" ref="L65:L89" si="10">E65</f>
        <v>20467.29</v>
      </c>
      <c r="M65" s="266">
        <f t="shared" ref="M65:M90" si="11">IF(L65&gt;$Y$1,(1),(0))</f>
        <v>1</v>
      </c>
      <c r="N65" s="57"/>
      <c r="O65" s="256">
        <f t="shared" ref="O65:O90" si="12">IF(N65=$Y$2,(1),(0))</f>
        <v>0</v>
      </c>
      <c r="P65" s="54">
        <v>1</v>
      </c>
      <c r="Q65" s="54">
        <v>1</v>
      </c>
      <c r="R65" s="54">
        <v>1</v>
      </c>
      <c r="S65" s="53">
        <v>1</v>
      </c>
      <c r="T65" s="282">
        <f>P65+Q65+R65+S65</f>
        <v>4</v>
      </c>
      <c r="U65" s="60"/>
      <c r="V65" s="283">
        <f t="shared" si="0"/>
        <v>0</v>
      </c>
      <c r="W65" s="53">
        <v>5</v>
      </c>
      <c r="X65" s="53">
        <f t="shared" ref="X65:X90" si="13">(M65+O65+T65+V65)*W65</f>
        <v>25</v>
      </c>
    </row>
    <row r="66" spans="1:24" ht="28.5" customHeight="1" x14ac:dyDescent="0.25">
      <c r="A66" s="259">
        <v>51</v>
      </c>
      <c r="B66" s="284" t="s">
        <v>357</v>
      </c>
      <c r="C66" s="219"/>
      <c r="D66" s="198" t="s">
        <v>463</v>
      </c>
      <c r="E66" s="270">
        <v>603.54</v>
      </c>
      <c r="F66" s="54" t="s">
        <v>363</v>
      </c>
      <c r="G66" s="198" t="s">
        <v>338</v>
      </c>
      <c r="H66" s="198" t="s">
        <v>338</v>
      </c>
      <c r="I66" s="270"/>
      <c r="J66" s="54"/>
      <c r="K66" s="198"/>
      <c r="L66" s="285">
        <f t="shared" si="10"/>
        <v>603.54</v>
      </c>
      <c r="M66" s="266">
        <f t="shared" si="11"/>
        <v>0</v>
      </c>
      <c r="N66" s="286"/>
      <c r="O66" s="223">
        <f t="shared" si="12"/>
        <v>0</v>
      </c>
      <c r="P66" s="284"/>
      <c r="Q66" s="219"/>
      <c r="R66" s="220"/>
      <c r="S66" s="263">
        <v>1</v>
      </c>
      <c r="T66" s="225">
        <f t="shared" ref="T66:T89" si="14">P66+Q66+R66+S66</f>
        <v>1</v>
      </c>
      <c r="U66" s="287"/>
      <c r="V66" s="226">
        <f t="shared" si="0"/>
        <v>0</v>
      </c>
      <c r="W66" s="259">
        <v>1</v>
      </c>
      <c r="X66" s="259">
        <f t="shared" si="13"/>
        <v>1</v>
      </c>
    </row>
    <row r="67" spans="1:24" ht="28.5" customHeight="1" x14ac:dyDescent="0.25">
      <c r="A67" s="53">
        <v>52</v>
      </c>
      <c r="B67" s="269" t="s">
        <v>357</v>
      </c>
      <c r="C67" s="54"/>
      <c r="D67" s="198" t="s">
        <v>464</v>
      </c>
      <c r="E67" s="270">
        <v>683.87</v>
      </c>
      <c r="F67" s="54" t="s">
        <v>363</v>
      </c>
      <c r="G67" s="198" t="s">
        <v>338</v>
      </c>
      <c r="H67" s="198" t="s">
        <v>338</v>
      </c>
      <c r="I67" s="270"/>
      <c r="J67" s="54"/>
      <c r="K67" s="198"/>
      <c r="L67" s="273">
        <f t="shared" si="10"/>
        <v>683.87</v>
      </c>
      <c r="M67" s="266">
        <f t="shared" si="11"/>
        <v>0</v>
      </c>
      <c r="N67" s="57"/>
      <c r="O67" s="223">
        <f t="shared" si="12"/>
        <v>0</v>
      </c>
      <c r="P67" s="269"/>
      <c r="Q67" s="54"/>
      <c r="R67" s="198"/>
      <c r="S67" s="225">
        <v>1</v>
      </c>
      <c r="T67" s="225">
        <f t="shared" si="14"/>
        <v>1</v>
      </c>
      <c r="U67" s="60"/>
      <c r="V67" s="226">
        <f t="shared" si="0"/>
        <v>0</v>
      </c>
      <c r="W67" s="53">
        <v>1</v>
      </c>
      <c r="X67" s="53">
        <f t="shared" si="13"/>
        <v>1</v>
      </c>
    </row>
    <row r="68" spans="1:24" ht="28.5" customHeight="1" x14ac:dyDescent="0.25">
      <c r="A68" s="53">
        <v>53</v>
      </c>
      <c r="B68" s="269" t="s">
        <v>357</v>
      </c>
      <c r="C68" s="54"/>
      <c r="D68" s="198" t="s">
        <v>465</v>
      </c>
      <c r="E68" s="270">
        <v>398.76</v>
      </c>
      <c r="F68" s="54" t="s">
        <v>363</v>
      </c>
      <c r="G68" s="198" t="s">
        <v>338</v>
      </c>
      <c r="H68" s="198" t="s">
        <v>338</v>
      </c>
      <c r="I68" s="270"/>
      <c r="J68" s="54"/>
      <c r="K68" s="198"/>
      <c r="L68" s="273">
        <f t="shared" si="10"/>
        <v>398.76</v>
      </c>
      <c r="M68" s="266">
        <f t="shared" si="11"/>
        <v>0</v>
      </c>
      <c r="N68" s="57"/>
      <c r="O68" s="223">
        <f t="shared" si="12"/>
        <v>0</v>
      </c>
      <c r="P68" s="269"/>
      <c r="Q68" s="54"/>
      <c r="R68" s="198"/>
      <c r="S68" s="225">
        <v>1</v>
      </c>
      <c r="T68" s="225">
        <f t="shared" si="14"/>
        <v>1</v>
      </c>
      <c r="U68" s="60"/>
      <c r="V68" s="226">
        <f t="shared" si="0"/>
        <v>0</v>
      </c>
      <c r="W68" s="53">
        <v>1</v>
      </c>
      <c r="X68" s="53">
        <f t="shared" si="13"/>
        <v>1</v>
      </c>
    </row>
    <row r="69" spans="1:24" ht="28.5" customHeight="1" x14ac:dyDescent="0.25">
      <c r="A69" s="53">
        <v>54</v>
      </c>
      <c r="B69" s="269" t="s">
        <v>357</v>
      </c>
      <c r="C69" s="54"/>
      <c r="D69" s="198" t="s">
        <v>466</v>
      </c>
      <c r="E69" s="270">
        <v>8740.14</v>
      </c>
      <c r="F69" s="54" t="s">
        <v>460</v>
      </c>
      <c r="G69" s="198" t="s">
        <v>338</v>
      </c>
      <c r="H69" s="198" t="s">
        <v>327</v>
      </c>
      <c r="I69" s="270"/>
      <c r="J69" s="54"/>
      <c r="K69" s="198"/>
      <c r="L69" s="273">
        <f t="shared" si="10"/>
        <v>8740.14</v>
      </c>
      <c r="M69" s="266">
        <f t="shared" si="11"/>
        <v>1</v>
      </c>
      <c r="N69" s="57"/>
      <c r="O69" s="223">
        <f t="shared" si="12"/>
        <v>0</v>
      </c>
      <c r="P69" s="269"/>
      <c r="Q69" s="54"/>
      <c r="R69" s="198"/>
      <c r="S69" s="225">
        <v>1</v>
      </c>
      <c r="T69" s="225">
        <f t="shared" si="14"/>
        <v>1</v>
      </c>
      <c r="U69" s="60"/>
      <c r="V69" s="226">
        <f t="shared" ref="V69:V113" si="15">IF(U69="si",(1),(0))</f>
        <v>0</v>
      </c>
      <c r="W69" s="53">
        <v>1</v>
      </c>
      <c r="X69" s="53">
        <f t="shared" si="13"/>
        <v>2</v>
      </c>
    </row>
    <row r="70" spans="1:24" ht="28.5" customHeight="1" x14ac:dyDescent="0.25">
      <c r="A70" s="53">
        <v>55</v>
      </c>
      <c r="B70" s="269" t="s">
        <v>357</v>
      </c>
      <c r="C70" s="54"/>
      <c r="D70" s="198" t="s">
        <v>467</v>
      </c>
      <c r="E70" s="270">
        <v>1103.21</v>
      </c>
      <c r="F70" s="54" t="s">
        <v>460</v>
      </c>
      <c r="G70" s="198" t="s">
        <v>338</v>
      </c>
      <c r="H70" s="198" t="s">
        <v>327</v>
      </c>
      <c r="I70" s="270"/>
      <c r="J70" s="54"/>
      <c r="K70" s="198"/>
      <c r="L70" s="273">
        <f t="shared" si="10"/>
        <v>1103.21</v>
      </c>
      <c r="M70" s="266">
        <f t="shared" si="11"/>
        <v>0</v>
      </c>
      <c r="N70" s="57"/>
      <c r="O70" s="223">
        <f t="shared" si="12"/>
        <v>0</v>
      </c>
      <c r="P70" s="269">
        <v>1</v>
      </c>
      <c r="Q70" s="54"/>
      <c r="R70" s="198"/>
      <c r="S70" s="225">
        <v>1</v>
      </c>
      <c r="T70" s="225">
        <f t="shared" si="14"/>
        <v>2</v>
      </c>
      <c r="U70" s="60"/>
      <c r="V70" s="226">
        <f t="shared" si="15"/>
        <v>0</v>
      </c>
      <c r="W70" s="53">
        <v>1</v>
      </c>
      <c r="X70" s="53">
        <f t="shared" si="13"/>
        <v>2</v>
      </c>
    </row>
    <row r="71" spans="1:24" ht="28.5" customHeight="1" x14ac:dyDescent="0.25">
      <c r="A71" s="53">
        <v>56</v>
      </c>
      <c r="B71" s="269" t="s">
        <v>357</v>
      </c>
      <c r="C71" s="54"/>
      <c r="D71" s="198" t="s">
        <v>468</v>
      </c>
      <c r="E71" s="270">
        <v>425.1</v>
      </c>
      <c r="F71" s="54" t="s">
        <v>460</v>
      </c>
      <c r="G71" s="198" t="s">
        <v>338</v>
      </c>
      <c r="H71" s="198" t="s">
        <v>327</v>
      </c>
      <c r="I71" s="270"/>
      <c r="J71" s="54"/>
      <c r="K71" s="198"/>
      <c r="L71" s="273">
        <f t="shared" si="10"/>
        <v>425.1</v>
      </c>
      <c r="M71" s="266">
        <f t="shared" si="11"/>
        <v>0</v>
      </c>
      <c r="N71" s="57"/>
      <c r="O71" s="223">
        <f t="shared" si="12"/>
        <v>0</v>
      </c>
      <c r="P71" s="269"/>
      <c r="Q71" s="54"/>
      <c r="R71" s="198"/>
      <c r="S71" s="225">
        <v>1</v>
      </c>
      <c r="T71" s="225">
        <f t="shared" si="14"/>
        <v>1</v>
      </c>
      <c r="U71" s="60"/>
      <c r="V71" s="226">
        <f t="shared" si="15"/>
        <v>0</v>
      </c>
      <c r="W71" s="53">
        <v>1</v>
      </c>
      <c r="X71" s="53">
        <f t="shared" si="13"/>
        <v>1</v>
      </c>
    </row>
    <row r="72" spans="1:24" ht="28.5" customHeight="1" x14ac:dyDescent="0.25">
      <c r="A72" s="53">
        <v>57</v>
      </c>
      <c r="B72" s="269" t="s">
        <v>357</v>
      </c>
      <c r="C72" s="54" t="s">
        <v>469</v>
      </c>
      <c r="D72" s="198" t="s">
        <v>467</v>
      </c>
      <c r="E72" s="270">
        <v>515.04</v>
      </c>
      <c r="F72" s="54" t="s">
        <v>460</v>
      </c>
      <c r="G72" s="198" t="s">
        <v>338</v>
      </c>
      <c r="H72" s="198" t="s">
        <v>327</v>
      </c>
      <c r="I72" s="270"/>
      <c r="J72" s="54"/>
      <c r="K72" s="198"/>
      <c r="L72" s="273">
        <f t="shared" si="10"/>
        <v>515.04</v>
      </c>
      <c r="M72" s="266">
        <f t="shared" si="11"/>
        <v>0</v>
      </c>
      <c r="N72" s="57"/>
      <c r="O72" s="223">
        <f t="shared" si="12"/>
        <v>0</v>
      </c>
      <c r="P72" s="269"/>
      <c r="Q72" s="54"/>
      <c r="R72" s="198"/>
      <c r="S72" s="225">
        <v>1</v>
      </c>
      <c r="T72" s="225">
        <f t="shared" si="14"/>
        <v>1</v>
      </c>
      <c r="U72" s="60"/>
      <c r="V72" s="226">
        <f t="shared" si="15"/>
        <v>0</v>
      </c>
      <c r="W72" s="53">
        <v>1</v>
      </c>
      <c r="X72" s="53">
        <f t="shared" si="13"/>
        <v>1</v>
      </c>
    </row>
    <row r="73" spans="1:24" ht="28.5" customHeight="1" x14ac:dyDescent="0.25">
      <c r="A73" s="53">
        <v>58</v>
      </c>
      <c r="B73" s="269" t="s">
        <v>357</v>
      </c>
      <c r="C73" s="54" t="s">
        <v>459</v>
      </c>
      <c r="D73" s="198" t="s">
        <v>467</v>
      </c>
      <c r="E73" s="270">
        <v>2694.1</v>
      </c>
      <c r="F73" s="54" t="s">
        <v>460</v>
      </c>
      <c r="G73" s="198" t="s">
        <v>338</v>
      </c>
      <c r="H73" s="198" t="s">
        <v>327</v>
      </c>
      <c r="I73" s="270"/>
      <c r="J73" s="54"/>
      <c r="K73" s="198"/>
      <c r="L73" s="273">
        <f t="shared" si="10"/>
        <v>2694.1</v>
      </c>
      <c r="M73" s="266">
        <f t="shared" si="11"/>
        <v>0</v>
      </c>
      <c r="N73" s="57"/>
      <c r="O73" s="223">
        <f t="shared" si="12"/>
        <v>0</v>
      </c>
      <c r="P73" s="269">
        <v>1</v>
      </c>
      <c r="Q73" s="54"/>
      <c r="R73" s="198"/>
      <c r="S73" s="225">
        <v>1</v>
      </c>
      <c r="T73" s="225">
        <f t="shared" si="14"/>
        <v>2</v>
      </c>
      <c r="U73" s="60"/>
      <c r="V73" s="226">
        <f t="shared" si="15"/>
        <v>0</v>
      </c>
      <c r="W73" s="53">
        <v>1</v>
      </c>
      <c r="X73" s="53">
        <f t="shared" si="13"/>
        <v>2</v>
      </c>
    </row>
    <row r="74" spans="1:24" ht="28.5" customHeight="1" x14ac:dyDescent="0.25">
      <c r="A74" s="53">
        <v>59</v>
      </c>
      <c r="B74" s="269" t="s">
        <v>356</v>
      </c>
      <c r="C74" s="54" t="s">
        <v>470</v>
      </c>
      <c r="D74" s="198" t="s">
        <v>470</v>
      </c>
      <c r="E74" s="270">
        <v>2873.18</v>
      </c>
      <c r="F74" s="54" t="s">
        <v>342</v>
      </c>
      <c r="G74" s="198" t="s">
        <v>331</v>
      </c>
      <c r="H74" s="198" t="s">
        <v>327</v>
      </c>
      <c r="I74" s="270"/>
      <c r="J74" s="54"/>
      <c r="K74" s="198"/>
      <c r="L74" s="273">
        <f t="shared" si="10"/>
        <v>2873.18</v>
      </c>
      <c r="M74" s="266">
        <f t="shared" si="11"/>
        <v>0</v>
      </c>
      <c r="N74" s="57"/>
      <c r="O74" s="223">
        <f t="shared" si="12"/>
        <v>0</v>
      </c>
      <c r="P74" s="269"/>
      <c r="Q74" s="54"/>
      <c r="R74" s="198"/>
      <c r="S74" s="225">
        <v>1</v>
      </c>
      <c r="T74" s="225">
        <f t="shared" si="14"/>
        <v>1</v>
      </c>
      <c r="U74" s="60"/>
      <c r="V74" s="226">
        <f t="shared" si="15"/>
        <v>0</v>
      </c>
      <c r="W74" s="53">
        <v>1</v>
      </c>
      <c r="X74" s="53">
        <f t="shared" si="13"/>
        <v>1</v>
      </c>
    </row>
    <row r="75" spans="1:24" ht="28.5" customHeight="1" x14ac:dyDescent="0.25">
      <c r="A75" s="53">
        <v>60</v>
      </c>
      <c r="B75" s="269" t="s">
        <v>356</v>
      </c>
      <c r="C75" s="54" t="s">
        <v>417</v>
      </c>
      <c r="D75" s="198" t="s">
        <v>471</v>
      </c>
      <c r="E75" s="270">
        <v>7842.82</v>
      </c>
      <c r="F75" s="54" t="s">
        <v>363</v>
      </c>
      <c r="G75" s="198" t="s">
        <v>338</v>
      </c>
      <c r="H75" s="198" t="s">
        <v>338</v>
      </c>
      <c r="I75" s="270"/>
      <c r="J75" s="54"/>
      <c r="K75" s="198"/>
      <c r="L75" s="273">
        <f t="shared" si="10"/>
        <v>7842.82</v>
      </c>
      <c r="M75" s="266">
        <f t="shared" si="11"/>
        <v>1</v>
      </c>
      <c r="N75" s="57"/>
      <c r="O75" s="223">
        <f t="shared" si="12"/>
        <v>0</v>
      </c>
      <c r="P75" s="269"/>
      <c r="Q75" s="54">
        <v>1</v>
      </c>
      <c r="R75" s="198"/>
      <c r="S75" s="225">
        <v>1</v>
      </c>
      <c r="T75" s="225">
        <f t="shared" si="14"/>
        <v>2</v>
      </c>
      <c r="U75" s="60"/>
      <c r="V75" s="226">
        <f t="shared" si="15"/>
        <v>0</v>
      </c>
      <c r="W75" s="53">
        <v>2</v>
      </c>
      <c r="X75" s="53">
        <f t="shared" si="13"/>
        <v>6</v>
      </c>
    </row>
    <row r="76" spans="1:24" ht="28.5" customHeight="1" x14ac:dyDescent="0.25">
      <c r="A76" s="53">
        <v>61</v>
      </c>
      <c r="B76" s="269" t="s">
        <v>356</v>
      </c>
      <c r="C76" s="54"/>
      <c r="D76" s="198" t="s">
        <v>471</v>
      </c>
      <c r="E76" s="270">
        <v>3798.75</v>
      </c>
      <c r="F76" s="54" t="s">
        <v>363</v>
      </c>
      <c r="G76" s="198" t="s">
        <v>338</v>
      </c>
      <c r="H76" s="198" t="s">
        <v>338</v>
      </c>
      <c r="I76" s="270"/>
      <c r="J76" s="54"/>
      <c r="K76" s="198"/>
      <c r="L76" s="273">
        <f t="shared" si="10"/>
        <v>3798.75</v>
      </c>
      <c r="M76" s="266">
        <f t="shared" si="11"/>
        <v>1</v>
      </c>
      <c r="N76" s="57"/>
      <c r="O76" s="223">
        <f t="shared" si="12"/>
        <v>0</v>
      </c>
      <c r="P76" s="269"/>
      <c r="Q76" s="54"/>
      <c r="R76" s="198"/>
      <c r="S76" s="225">
        <v>1</v>
      </c>
      <c r="T76" s="225">
        <f t="shared" si="14"/>
        <v>1</v>
      </c>
      <c r="U76" s="60"/>
      <c r="V76" s="226">
        <f t="shared" si="15"/>
        <v>0</v>
      </c>
      <c r="W76" s="53">
        <v>1</v>
      </c>
      <c r="X76" s="53">
        <f t="shared" si="13"/>
        <v>2</v>
      </c>
    </row>
    <row r="77" spans="1:24" ht="28.5" customHeight="1" x14ac:dyDescent="0.25">
      <c r="A77" s="53">
        <v>62</v>
      </c>
      <c r="B77" s="269" t="s">
        <v>356</v>
      </c>
      <c r="C77" s="54" t="s">
        <v>461</v>
      </c>
      <c r="D77" s="198" t="s">
        <v>472</v>
      </c>
      <c r="E77" s="270">
        <v>1431.33</v>
      </c>
      <c r="F77" s="54" t="s">
        <v>342</v>
      </c>
      <c r="G77" s="198" t="s">
        <v>338</v>
      </c>
      <c r="H77" s="198" t="s">
        <v>327</v>
      </c>
      <c r="I77" s="270"/>
      <c r="J77" s="54"/>
      <c r="K77" s="198"/>
      <c r="L77" s="273">
        <f t="shared" si="10"/>
        <v>1431.33</v>
      </c>
      <c r="M77" s="266">
        <f t="shared" si="11"/>
        <v>0</v>
      </c>
      <c r="N77" s="57"/>
      <c r="O77" s="223">
        <f t="shared" si="12"/>
        <v>0</v>
      </c>
      <c r="P77" s="269"/>
      <c r="Q77" s="54">
        <v>1</v>
      </c>
      <c r="R77" s="198"/>
      <c r="S77" s="225">
        <v>1</v>
      </c>
      <c r="T77" s="225">
        <f t="shared" si="14"/>
        <v>2</v>
      </c>
      <c r="U77" s="60"/>
      <c r="V77" s="226">
        <f t="shared" si="15"/>
        <v>0</v>
      </c>
      <c r="W77" s="53">
        <v>1</v>
      </c>
      <c r="X77" s="53">
        <f t="shared" si="13"/>
        <v>2</v>
      </c>
    </row>
    <row r="78" spans="1:24" ht="28.5" customHeight="1" x14ac:dyDescent="0.25">
      <c r="A78" s="53">
        <v>63</v>
      </c>
      <c r="B78" s="269" t="s">
        <v>356</v>
      </c>
      <c r="C78" s="54"/>
      <c r="D78" s="54" t="s">
        <v>473</v>
      </c>
      <c r="E78" s="270">
        <v>1645.93</v>
      </c>
      <c r="F78" s="54" t="s">
        <v>342</v>
      </c>
      <c r="G78" s="198" t="s">
        <v>331</v>
      </c>
      <c r="H78" s="198" t="s">
        <v>327</v>
      </c>
      <c r="I78" s="270"/>
      <c r="J78" s="54"/>
      <c r="K78" s="198"/>
      <c r="L78" s="273">
        <f t="shared" si="10"/>
        <v>1645.93</v>
      </c>
      <c r="M78" s="266">
        <f t="shared" si="11"/>
        <v>0</v>
      </c>
      <c r="N78" s="57"/>
      <c r="O78" s="223">
        <f t="shared" si="12"/>
        <v>0</v>
      </c>
      <c r="P78" s="269"/>
      <c r="Q78" s="54"/>
      <c r="R78" s="198"/>
      <c r="S78" s="225">
        <v>1</v>
      </c>
      <c r="T78" s="225">
        <f t="shared" si="14"/>
        <v>1</v>
      </c>
      <c r="U78" s="60"/>
      <c r="V78" s="226">
        <f t="shared" si="15"/>
        <v>0</v>
      </c>
      <c r="W78" s="53">
        <v>1</v>
      </c>
      <c r="X78" s="53">
        <f t="shared" si="13"/>
        <v>1</v>
      </c>
    </row>
    <row r="79" spans="1:24" ht="28.5" customHeight="1" x14ac:dyDescent="0.25">
      <c r="A79" s="53">
        <v>64</v>
      </c>
      <c r="B79" s="269" t="s">
        <v>356</v>
      </c>
      <c r="C79" s="54"/>
      <c r="D79" s="54" t="s">
        <v>474</v>
      </c>
      <c r="E79" s="270">
        <v>1911.63</v>
      </c>
      <c r="F79" s="54" t="s">
        <v>342</v>
      </c>
      <c r="G79" s="198" t="s">
        <v>331</v>
      </c>
      <c r="H79" s="198" t="s">
        <v>327</v>
      </c>
      <c r="I79" s="270"/>
      <c r="J79" s="54"/>
      <c r="K79" s="198"/>
      <c r="L79" s="273">
        <f t="shared" si="10"/>
        <v>1911.63</v>
      </c>
      <c r="M79" s="266">
        <f t="shared" si="11"/>
        <v>0</v>
      </c>
      <c r="N79" s="57"/>
      <c r="O79" s="223">
        <f t="shared" si="12"/>
        <v>0</v>
      </c>
      <c r="P79" s="269"/>
      <c r="Q79" s="54"/>
      <c r="R79" s="198"/>
      <c r="S79" s="225">
        <v>1</v>
      </c>
      <c r="T79" s="225">
        <f t="shared" si="14"/>
        <v>1</v>
      </c>
      <c r="U79" s="60"/>
      <c r="V79" s="226">
        <f t="shared" si="15"/>
        <v>0</v>
      </c>
      <c r="W79" s="53">
        <v>1</v>
      </c>
      <c r="X79" s="53">
        <f t="shared" si="13"/>
        <v>1</v>
      </c>
    </row>
    <row r="80" spans="1:24" ht="28.5" customHeight="1" x14ac:dyDescent="0.25">
      <c r="A80" s="53">
        <v>65</v>
      </c>
      <c r="B80" s="269" t="s">
        <v>356</v>
      </c>
      <c r="C80" s="54"/>
      <c r="D80" s="198" t="s">
        <v>475</v>
      </c>
      <c r="E80" s="270">
        <v>1610.15</v>
      </c>
      <c r="F80" s="54" t="s">
        <v>342</v>
      </c>
      <c r="G80" s="198" t="s">
        <v>338</v>
      </c>
      <c r="H80" s="198" t="s">
        <v>327</v>
      </c>
      <c r="I80" s="270"/>
      <c r="J80" s="54"/>
      <c r="K80" s="198"/>
      <c r="L80" s="273">
        <f t="shared" si="10"/>
        <v>1610.15</v>
      </c>
      <c r="M80" s="266">
        <f t="shared" si="11"/>
        <v>0</v>
      </c>
      <c r="N80" s="57"/>
      <c r="O80" s="223">
        <f t="shared" si="12"/>
        <v>0</v>
      </c>
      <c r="P80" s="269"/>
      <c r="Q80" s="54"/>
      <c r="R80" s="198"/>
      <c r="S80" s="225">
        <v>1</v>
      </c>
      <c r="T80" s="225">
        <f t="shared" si="14"/>
        <v>1</v>
      </c>
      <c r="U80" s="60"/>
      <c r="V80" s="226">
        <f t="shared" si="15"/>
        <v>0</v>
      </c>
      <c r="W80" s="53">
        <v>1</v>
      </c>
      <c r="X80" s="53">
        <f t="shared" si="13"/>
        <v>1</v>
      </c>
    </row>
    <row r="81" spans="1:24" ht="28.5" customHeight="1" x14ac:dyDescent="0.25">
      <c r="A81" s="53">
        <v>66</v>
      </c>
      <c r="B81" s="269" t="s">
        <v>356</v>
      </c>
      <c r="C81" s="54" t="s">
        <v>476</v>
      </c>
      <c r="D81" s="198" t="s">
        <v>477</v>
      </c>
      <c r="E81" s="270">
        <v>487.98</v>
      </c>
      <c r="F81" s="54" t="s">
        <v>353</v>
      </c>
      <c r="G81" s="198" t="s">
        <v>331</v>
      </c>
      <c r="H81" s="198" t="s">
        <v>327</v>
      </c>
      <c r="I81" s="270"/>
      <c r="J81" s="54"/>
      <c r="K81" s="198"/>
      <c r="L81" s="273">
        <f t="shared" si="10"/>
        <v>487.98</v>
      </c>
      <c r="M81" s="266">
        <f t="shared" si="11"/>
        <v>0</v>
      </c>
      <c r="N81" s="57"/>
      <c r="O81" s="223">
        <f t="shared" si="12"/>
        <v>0</v>
      </c>
      <c r="P81" s="269"/>
      <c r="Q81" s="54"/>
      <c r="R81" s="198"/>
      <c r="S81" s="225">
        <v>1</v>
      </c>
      <c r="T81" s="225">
        <f t="shared" si="14"/>
        <v>1</v>
      </c>
      <c r="U81" s="60"/>
      <c r="V81" s="226">
        <f t="shared" si="15"/>
        <v>0</v>
      </c>
      <c r="W81" s="53">
        <v>1</v>
      </c>
      <c r="X81" s="53">
        <f t="shared" si="13"/>
        <v>1</v>
      </c>
    </row>
    <row r="82" spans="1:24" ht="28.5" customHeight="1" x14ac:dyDescent="0.25">
      <c r="A82" s="53">
        <v>67</v>
      </c>
      <c r="B82" s="269" t="s">
        <v>396</v>
      </c>
      <c r="C82" s="54" t="s">
        <v>431</v>
      </c>
      <c r="D82" s="198"/>
      <c r="E82" s="270">
        <v>2179.15</v>
      </c>
      <c r="F82" s="54" t="s">
        <v>342</v>
      </c>
      <c r="G82" s="198" t="s">
        <v>331</v>
      </c>
      <c r="H82" s="198" t="s">
        <v>327</v>
      </c>
      <c r="I82" s="270"/>
      <c r="J82" s="54"/>
      <c r="K82" s="198"/>
      <c r="L82" s="273">
        <f t="shared" si="10"/>
        <v>2179.15</v>
      </c>
      <c r="M82" s="266">
        <f t="shared" si="11"/>
        <v>0</v>
      </c>
      <c r="N82" s="57"/>
      <c r="O82" s="223">
        <f t="shared" si="12"/>
        <v>0</v>
      </c>
      <c r="P82" s="269"/>
      <c r="Q82" s="54">
        <v>1</v>
      </c>
      <c r="R82" s="198"/>
      <c r="S82" s="225">
        <v>1</v>
      </c>
      <c r="T82" s="225">
        <f t="shared" si="14"/>
        <v>2</v>
      </c>
      <c r="U82" s="60"/>
      <c r="V82" s="226">
        <f t="shared" si="15"/>
        <v>0</v>
      </c>
      <c r="W82" s="53">
        <v>2</v>
      </c>
      <c r="X82" s="53">
        <f t="shared" si="13"/>
        <v>4</v>
      </c>
    </row>
    <row r="83" spans="1:24" ht="28.5" customHeight="1" x14ac:dyDescent="0.25">
      <c r="A83" s="53">
        <v>68</v>
      </c>
      <c r="B83" s="269" t="s">
        <v>396</v>
      </c>
      <c r="C83" s="54" t="s">
        <v>420</v>
      </c>
      <c r="D83" s="198" t="s">
        <v>478</v>
      </c>
      <c r="E83" s="270">
        <v>2159.5300000000002</v>
      </c>
      <c r="F83" s="54" t="s">
        <v>353</v>
      </c>
      <c r="G83" s="198" t="s">
        <v>331</v>
      </c>
      <c r="H83" s="198" t="s">
        <v>327</v>
      </c>
      <c r="I83" s="270"/>
      <c r="J83" s="54"/>
      <c r="K83" s="198"/>
      <c r="L83" s="273">
        <f t="shared" si="10"/>
        <v>2159.5300000000002</v>
      </c>
      <c r="M83" s="266">
        <f t="shared" si="11"/>
        <v>0</v>
      </c>
      <c r="N83" s="57"/>
      <c r="O83" s="223">
        <f t="shared" si="12"/>
        <v>0</v>
      </c>
      <c r="P83" s="269">
        <v>1</v>
      </c>
      <c r="Q83" s="54">
        <v>1</v>
      </c>
      <c r="R83" s="198"/>
      <c r="S83" s="225">
        <v>1</v>
      </c>
      <c r="T83" s="225">
        <f t="shared" si="14"/>
        <v>3</v>
      </c>
      <c r="U83" s="60"/>
      <c r="V83" s="226">
        <f t="shared" si="15"/>
        <v>0</v>
      </c>
      <c r="W83" s="53">
        <v>2</v>
      </c>
      <c r="X83" s="53">
        <f t="shared" si="13"/>
        <v>6</v>
      </c>
    </row>
    <row r="84" spans="1:24" ht="28.5" customHeight="1" x14ac:dyDescent="0.25">
      <c r="A84" s="53">
        <v>69</v>
      </c>
      <c r="B84" s="269" t="s">
        <v>396</v>
      </c>
      <c r="C84" s="54" t="s">
        <v>402</v>
      </c>
      <c r="D84" s="198" t="s">
        <v>479</v>
      </c>
      <c r="E84" s="270">
        <v>4131.1400000000003</v>
      </c>
      <c r="F84" s="54" t="s">
        <v>342</v>
      </c>
      <c r="G84" s="198" t="s">
        <v>331</v>
      </c>
      <c r="H84" s="198" t="s">
        <v>327</v>
      </c>
      <c r="I84" s="270"/>
      <c r="J84" s="54"/>
      <c r="K84" s="198"/>
      <c r="L84" s="273">
        <f t="shared" si="10"/>
        <v>4131.1400000000003</v>
      </c>
      <c r="M84" s="266">
        <f t="shared" si="11"/>
        <v>1</v>
      </c>
      <c r="N84" s="57"/>
      <c r="O84" s="223">
        <f t="shared" si="12"/>
        <v>0</v>
      </c>
      <c r="P84" s="269">
        <v>1</v>
      </c>
      <c r="Q84" s="54">
        <v>1</v>
      </c>
      <c r="R84" s="198"/>
      <c r="S84" s="225">
        <v>1</v>
      </c>
      <c r="T84" s="225">
        <f t="shared" si="14"/>
        <v>3</v>
      </c>
      <c r="U84" s="60"/>
      <c r="V84" s="226">
        <f t="shared" si="15"/>
        <v>0</v>
      </c>
      <c r="W84" s="53">
        <v>2</v>
      </c>
      <c r="X84" s="53">
        <f t="shared" si="13"/>
        <v>8</v>
      </c>
    </row>
    <row r="85" spans="1:24" ht="28.5" customHeight="1" x14ac:dyDescent="0.25">
      <c r="A85" s="53">
        <v>70</v>
      </c>
      <c r="B85" s="269" t="s">
        <v>386</v>
      </c>
      <c r="C85" s="54"/>
      <c r="D85" s="54" t="s">
        <v>480</v>
      </c>
      <c r="E85" s="270">
        <v>222.46</v>
      </c>
      <c r="F85" s="54" t="s">
        <v>363</v>
      </c>
      <c r="G85" s="198" t="s">
        <v>338</v>
      </c>
      <c r="H85" s="198" t="s">
        <v>338</v>
      </c>
      <c r="I85" s="270"/>
      <c r="J85" s="54"/>
      <c r="K85" s="198"/>
      <c r="L85" s="273">
        <f t="shared" si="10"/>
        <v>222.46</v>
      </c>
      <c r="M85" s="266">
        <f t="shared" si="11"/>
        <v>0</v>
      </c>
      <c r="N85" s="57"/>
      <c r="O85" s="223">
        <f t="shared" si="12"/>
        <v>0</v>
      </c>
      <c r="P85" s="269"/>
      <c r="Q85" s="54"/>
      <c r="R85" s="198"/>
      <c r="S85" s="225">
        <v>1</v>
      </c>
      <c r="T85" s="225">
        <f t="shared" si="14"/>
        <v>1</v>
      </c>
      <c r="U85" s="60"/>
      <c r="V85" s="226">
        <f t="shared" si="15"/>
        <v>0</v>
      </c>
      <c r="W85" s="53">
        <v>1</v>
      </c>
      <c r="X85" s="53">
        <f t="shared" si="13"/>
        <v>1</v>
      </c>
    </row>
    <row r="86" spans="1:24" ht="28.5" customHeight="1" x14ac:dyDescent="0.25">
      <c r="A86" s="53">
        <v>71</v>
      </c>
      <c r="B86" s="269" t="s">
        <v>386</v>
      </c>
      <c r="C86" s="54"/>
      <c r="D86" s="198" t="s">
        <v>481</v>
      </c>
      <c r="E86" s="270">
        <v>1168.6300000000001</v>
      </c>
      <c r="F86" s="54" t="s">
        <v>363</v>
      </c>
      <c r="G86" s="198" t="s">
        <v>338</v>
      </c>
      <c r="H86" s="198" t="s">
        <v>338</v>
      </c>
      <c r="I86" s="270"/>
      <c r="J86" s="54"/>
      <c r="K86" s="198"/>
      <c r="L86" s="273">
        <f t="shared" si="10"/>
        <v>1168.6300000000001</v>
      </c>
      <c r="M86" s="266">
        <f t="shared" si="11"/>
        <v>0</v>
      </c>
      <c r="N86" s="57"/>
      <c r="O86" s="223">
        <f t="shared" si="12"/>
        <v>0</v>
      </c>
      <c r="P86" s="269"/>
      <c r="Q86" s="54"/>
      <c r="R86" s="198"/>
      <c r="S86" s="225">
        <v>1</v>
      </c>
      <c r="T86" s="225">
        <f t="shared" si="14"/>
        <v>1</v>
      </c>
      <c r="U86" s="60"/>
      <c r="V86" s="226">
        <f t="shared" si="15"/>
        <v>0</v>
      </c>
      <c r="W86" s="53">
        <v>1</v>
      </c>
      <c r="X86" s="53">
        <f t="shared" si="13"/>
        <v>1</v>
      </c>
    </row>
    <row r="87" spans="1:24" ht="48" customHeight="1" x14ac:dyDescent="0.25">
      <c r="A87" s="53">
        <v>72</v>
      </c>
      <c r="B87" s="269" t="s">
        <v>345</v>
      </c>
      <c r="C87" s="54" t="s">
        <v>423</v>
      </c>
      <c r="D87" s="198" t="s">
        <v>482</v>
      </c>
      <c r="E87" s="270">
        <v>341.2</v>
      </c>
      <c r="F87" s="54" t="s">
        <v>363</v>
      </c>
      <c r="G87" s="198" t="s">
        <v>338</v>
      </c>
      <c r="H87" s="198" t="s">
        <v>338</v>
      </c>
      <c r="I87" s="270"/>
      <c r="J87" s="54"/>
      <c r="K87" s="198"/>
      <c r="L87" s="273">
        <f t="shared" si="10"/>
        <v>341.2</v>
      </c>
      <c r="M87" s="266">
        <f t="shared" si="11"/>
        <v>0</v>
      </c>
      <c r="N87" s="57"/>
      <c r="O87" s="223">
        <f t="shared" si="12"/>
        <v>0</v>
      </c>
      <c r="P87" s="269">
        <v>1</v>
      </c>
      <c r="Q87" s="54"/>
      <c r="R87" s="198"/>
      <c r="S87" s="225">
        <v>1</v>
      </c>
      <c r="T87" s="225">
        <f t="shared" si="14"/>
        <v>2</v>
      </c>
      <c r="U87" s="60"/>
      <c r="V87" s="226">
        <f t="shared" si="15"/>
        <v>0</v>
      </c>
      <c r="W87" s="53">
        <v>3</v>
      </c>
      <c r="X87" s="53">
        <f t="shared" si="13"/>
        <v>6</v>
      </c>
    </row>
    <row r="88" spans="1:24" ht="33.75" customHeight="1" x14ac:dyDescent="0.25">
      <c r="A88" s="53">
        <v>73</v>
      </c>
      <c r="B88" s="269" t="s">
        <v>345</v>
      </c>
      <c r="C88" s="54" t="s">
        <v>427</v>
      </c>
      <c r="D88" s="198" t="s">
        <v>483</v>
      </c>
      <c r="E88" s="270">
        <v>1206.27</v>
      </c>
      <c r="F88" s="54" t="s">
        <v>363</v>
      </c>
      <c r="G88" s="198" t="s">
        <v>338</v>
      </c>
      <c r="H88" s="198" t="s">
        <v>338</v>
      </c>
      <c r="I88" s="270"/>
      <c r="J88" s="54"/>
      <c r="K88" s="198"/>
      <c r="L88" s="273">
        <f t="shared" si="10"/>
        <v>1206.27</v>
      </c>
      <c r="M88" s="266">
        <f t="shared" si="11"/>
        <v>0</v>
      </c>
      <c r="N88" s="57"/>
      <c r="O88" s="223">
        <f t="shared" si="12"/>
        <v>0</v>
      </c>
      <c r="P88" s="269"/>
      <c r="Q88" s="54">
        <v>1</v>
      </c>
      <c r="R88" s="198"/>
      <c r="S88" s="225">
        <v>1</v>
      </c>
      <c r="T88" s="225">
        <f t="shared" si="14"/>
        <v>2</v>
      </c>
      <c r="U88" s="60"/>
      <c r="V88" s="226">
        <f t="shared" si="15"/>
        <v>0</v>
      </c>
      <c r="W88" s="53">
        <v>3</v>
      </c>
      <c r="X88" s="53">
        <f t="shared" si="13"/>
        <v>6</v>
      </c>
    </row>
    <row r="89" spans="1:24" ht="33.75" customHeight="1" x14ac:dyDescent="0.25">
      <c r="A89" s="53">
        <v>74</v>
      </c>
      <c r="B89" s="269" t="s">
        <v>345</v>
      </c>
      <c r="C89" s="54"/>
      <c r="D89" s="198" t="s">
        <v>484</v>
      </c>
      <c r="E89" s="270">
        <v>4679.97</v>
      </c>
      <c r="F89" s="54" t="s">
        <v>353</v>
      </c>
      <c r="G89" s="198" t="s">
        <v>338</v>
      </c>
      <c r="H89" s="198" t="s">
        <v>327</v>
      </c>
      <c r="I89" s="270"/>
      <c r="J89" s="54"/>
      <c r="K89" s="198"/>
      <c r="L89" s="273">
        <f t="shared" si="10"/>
        <v>4679.97</v>
      </c>
      <c r="M89" s="266">
        <f t="shared" si="11"/>
        <v>1</v>
      </c>
      <c r="N89" s="57"/>
      <c r="O89" s="223">
        <f t="shared" si="12"/>
        <v>0</v>
      </c>
      <c r="P89" s="269"/>
      <c r="Q89" s="54"/>
      <c r="R89" s="198"/>
      <c r="S89" s="225">
        <v>1</v>
      </c>
      <c r="T89" s="225">
        <f t="shared" si="14"/>
        <v>1</v>
      </c>
      <c r="U89" s="60"/>
      <c r="V89" s="226">
        <f t="shared" si="15"/>
        <v>0</v>
      </c>
      <c r="W89" s="53">
        <v>1</v>
      </c>
      <c r="X89" s="53">
        <f t="shared" si="13"/>
        <v>2</v>
      </c>
    </row>
    <row r="90" spans="1:24" ht="33.75" customHeight="1" x14ac:dyDescent="0.25">
      <c r="A90" s="193">
        <v>75</v>
      </c>
      <c r="B90" s="207" t="s">
        <v>393</v>
      </c>
      <c r="C90" s="207"/>
      <c r="D90" s="208" t="s">
        <v>485</v>
      </c>
      <c r="E90" s="270">
        <v>320.48</v>
      </c>
      <c r="F90" s="54" t="s">
        <v>486</v>
      </c>
      <c r="G90" s="198" t="s">
        <v>331</v>
      </c>
      <c r="H90" s="198" t="s">
        <v>332</v>
      </c>
      <c r="I90" s="270">
        <v>248.01</v>
      </c>
      <c r="J90" s="53" t="s">
        <v>328</v>
      </c>
      <c r="K90" s="177" t="s">
        <v>338</v>
      </c>
      <c r="L90" s="275">
        <f>E90+E91+I90</f>
        <v>956.36</v>
      </c>
      <c r="M90" s="243">
        <f t="shared" si="11"/>
        <v>0</v>
      </c>
      <c r="N90" s="276"/>
      <c r="O90" s="190">
        <f t="shared" si="12"/>
        <v>0</v>
      </c>
      <c r="P90" s="207"/>
      <c r="Q90" s="207"/>
      <c r="R90" s="207"/>
      <c r="S90" s="193">
        <v>1</v>
      </c>
      <c r="T90" s="193">
        <f>P90+Q90+R90+S90</f>
        <v>1</v>
      </c>
      <c r="U90" s="212"/>
      <c r="V90" s="195">
        <f t="shared" si="15"/>
        <v>0</v>
      </c>
      <c r="W90" s="193">
        <v>1</v>
      </c>
      <c r="X90" s="193">
        <f t="shared" si="13"/>
        <v>1</v>
      </c>
    </row>
    <row r="91" spans="1:24" ht="33.75" customHeight="1" x14ac:dyDescent="0.25">
      <c r="A91" s="204"/>
      <c r="B91" s="214"/>
      <c r="C91" s="214"/>
      <c r="D91" s="215"/>
      <c r="E91" s="270">
        <v>387.87</v>
      </c>
      <c r="F91" s="54" t="s">
        <v>342</v>
      </c>
      <c r="G91" s="198"/>
      <c r="H91" s="198" t="s">
        <v>332</v>
      </c>
      <c r="I91" s="270"/>
      <c r="J91" s="54"/>
      <c r="K91" s="198"/>
      <c r="L91" s="279"/>
      <c r="M91" s="253"/>
      <c r="N91" s="280"/>
      <c r="O91" s="202"/>
      <c r="P91" s="214"/>
      <c r="Q91" s="214"/>
      <c r="R91" s="214"/>
      <c r="S91" s="204"/>
      <c r="T91" s="204"/>
      <c r="U91" s="217"/>
      <c r="V91" s="205"/>
      <c r="W91" s="204"/>
      <c r="X91" s="204"/>
    </row>
    <row r="92" spans="1:24" ht="33.75" customHeight="1" x14ac:dyDescent="0.25">
      <c r="A92" s="53">
        <v>76</v>
      </c>
      <c r="B92" s="269" t="s">
        <v>393</v>
      </c>
      <c r="C92" s="54"/>
      <c r="D92" s="198" t="s">
        <v>487</v>
      </c>
      <c r="E92" s="270">
        <v>239.28</v>
      </c>
      <c r="F92" s="54" t="s">
        <v>486</v>
      </c>
      <c r="G92" s="198" t="s">
        <v>411</v>
      </c>
      <c r="H92" s="198" t="s">
        <v>35</v>
      </c>
      <c r="I92" s="270">
        <v>189.38</v>
      </c>
      <c r="J92" s="54" t="s">
        <v>328</v>
      </c>
      <c r="K92" s="177" t="s">
        <v>411</v>
      </c>
      <c r="L92" s="273">
        <f>E92+I92</f>
        <v>428.65999999999997</v>
      </c>
      <c r="M92" s="266">
        <f t="shared" ref="M92:M113" si="16">IF(L92&gt;$Y$1,(1),(0))</f>
        <v>0</v>
      </c>
      <c r="N92" s="57"/>
      <c r="O92" s="223">
        <f t="shared" ref="O92:O113" si="17">IF(N92=$Y$2,(1),(0))</f>
        <v>0</v>
      </c>
      <c r="P92" s="269"/>
      <c r="Q92" s="54"/>
      <c r="R92" s="198"/>
      <c r="S92" s="225">
        <v>1</v>
      </c>
      <c r="T92" s="225">
        <f>P92+Q92+R92+S92</f>
        <v>1</v>
      </c>
      <c r="U92" s="60"/>
      <c r="V92" s="226">
        <f t="shared" si="15"/>
        <v>0</v>
      </c>
      <c r="W92" s="53">
        <v>1</v>
      </c>
      <c r="X92" s="53">
        <f t="shared" ref="X92:X113" si="18">(M92+O92+T92+V92)*W92</f>
        <v>1</v>
      </c>
    </row>
    <row r="93" spans="1:24" ht="33.75" customHeight="1" x14ac:dyDescent="0.25">
      <c r="A93" s="53">
        <v>77</v>
      </c>
      <c r="B93" s="269" t="s">
        <v>373</v>
      </c>
      <c r="C93" s="54"/>
      <c r="D93" s="198" t="s">
        <v>488</v>
      </c>
      <c r="E93" s="270">
        <v>3717.19</v>
      </c>
      <c r="F93" s="54" t="s">
        <v>353</v>
      </c>
      <c r="G93" s="198" t="s">
        <v>331</v>
      </c>
      <c r="H93" s="198" t="s">
        <v>327</v>
      </c>
      <c r="I93" s="270"/>
      <c r="J93" s="54"/>
      <c r="K93" s="198"/>
      <c r="L93" s="273">
        <f>E93</f>
        <v>3717.19</v>
      </c>
      <c r="M93" s="266">
        <f t="shared" si="16"/>
        <v>1</v>
      </c>
      <c r="N93" s="57"/>
      <c r="O93" s="223">
        <f t="shared" si="17"/>
        <v>0</v>
      </c>
      <c r="P93" s="269"/>
      <c r="Q93" s="54"/>
      <c r="R93" s="198"/>
      <c r="S93" s="225">
        <v>1</v>
      </c>
      <c r="T93" s="225">
        <f t="shared" ref="T93:T112" si="19">P93+Q93+R93+S93</f>
        <v>1</v>
      </c>
      <c r="U93" s="60"/>
      <c r="V93" s="226">
        <f t="shared" si="15"/>
        <v>0</v>
      </c>
      <c r="W93" s="53">
        <v>1</v>
      </c>
      <c r="X93" s="53">
        <f t="shared" si="18"/>
        <v>2</v>
      </c>
    </row>
    <row r="94" spans="1:24" ht="33.75" customHeight="1" x14ac:dyDescent="0.25">
      <c r="A94" s="53">
        <v>78</v>
      </c>
      <c r="B94" s="269" t="s">
        <v>382</v>
      </c>
      <c r="C94" s="54"/>
      <c r="D94" s="198" t="s">
        <v>489</v>
      </c>
      <c r="E94" s="270"/>
      <c r="F94" s="54"/>
      <c r="G94" s="198"/>
      <c r="H94" s="198"/>
      <c r="I94" s="270">
        <v>853.9</v>
      </c>
      <c r="J94" s="54" t="s">
        <v>419</v>
      </c>
      <c r="K94" s="177" t="s">
        <v>411</v>
      </c>
      <c r="L94" s="273">
        <f>I94</f>
        <v>853.9</v>
      </c>
      <c r="M94" s="266">
        <f t="shared" si="16"/>
        <v>0</v>
      </c>
      <c r="N94" s="57"/>
      <c r="O94" s="223">
        <f t="shared" si="17"/>
        <v>0</v>
      </c>
      <c r="P94" s="269"/>
      <c r="Q94" s="54"/>
      <c r="R94" s="198"/>
      <c r="S94" s="225">
        <v>1</v>
      </c>
      <c r="T94" s="225">
        <f t="shared" si="19"/>
        <v>1</v>
      </c>
      <c r="U94" s="60"/>
      <c r="V94" s="226">
        <f t="shared" si="15"/>
        <v>0</v>
      </c>
      <c r="W94" s="53">
        <v>1</v>
      </c>
      <c r="X94" s="53">
        <f t="shared" si="18"/>
        <v>1</v>
      </c>
    </row>
    <row r="95" spans="1:24" ht="48" customHeight="1" x14ac:dyDescent="0.25">
      <c r="A95" s="53">
        <v>79</v>
      </c>
      <c r="B95" s="269" t="s">
        <v>382</v>
      </c>
      <c r="C95" s="54"/>
      <c r="D95" s="198" t="s">
        <v>490</v>
      </c>
      <c r="E95" s="270">
        <v>2921.77</v>
      </c>
      <c r="F95" s="54" t="s">
        <v>486</v>
      </c>
      <c r="G95" s="198" t="s">
        <v>331</v>
      </c>
      <c r="H95" s="198" t="s">
        <v>327</v>
      </c>
      <c r="I95" s="270"/>
      <c r="J95" s="54"/>
      <c r="K95" s="198"/>
      <c r="L95" s="273">
        <f t="shared" ref="L95:L112" si="20">E95</f>
        <v>2921.77</v>
      </c>
      <c r="M95" s="266">
        <f t="shared" si="16"/>
        <v>0</v>
      </c>
      <c r="N95" s="57"/>
      <c r="O95" s="223">
        <f t="shared" si="17"/>
        <v>0</v>
      </c>
      <c r="P95" s="269"/>
      <c r="Q95" s="54"/>
      <c r="R95" s="198"/>
      <c r="S95" s="225">
        <v>1</v>
      </c>
      <c r="T95" s="225">
        <f t="shared" si="19"/>
        <v>1</v>
      </c>
      <c r="U95" s="60"/>
      <c r="V95" s="226">
        <f t="shared" si="15"/>
        <v>0</v>
      </c>
      <c r="W95" s="53">
        <v>1</v>
      </c>
      <c r="X95" s="53">
        <f t="shared" si="18"/>
        <v>1</v>
      </c>
    </row>
    <row r="96" spans="1:24" ht="33.75" customHeight="1" x14ac:dyDescent="0.25">
      <c r="A96" s="53">
        <v>80</v>
      </c>
      <c r="B96" s="269" t="s">
        <v>382</v>
      </c>
      <c r="C96" s="54"/>
      <c r="D96" s="198" t="s">
        <v>491</v>
      </c>
      <c r="E96" s="270">
        <v>1253.79</v>
      </c>
      <c r="F96" s="54" t="s">
        <v>486</v>
      </c>
      <c r="G96" s="198" t="s">
        <v>331</v>
      </c>
      <c r="H96" s="198" t="s">
        <v>327</v>
      </c>
      <c r="I96" s="270"/>
      <c r="J96" s="54"/>
      <c r="K96" s="198"/>
      <c r="L96" s="273">
        <f t="shared" si="20"/>
        <v>1253.79</v>
      </c>
      <c r="M96" s="266">
        <f t="shared" si="16"/>
        <v>0</v>
      </c>
      <c r="N96" s="57"/>
      <c r="O96" s="223">
        <f t="shared" si="17"/>
        <v>0</v>
      </c>
      <c r="P96" s="269"/>
      <c r="Q96" s="54"/>
      <c r="R96" s="198"/>
      <c r="S96" s="225">
        <v>1</v>
      </c>
      <c r="T96" s="225">
        <f t="shared" si="19"/>
        <v>1</v>
      </c>
      <c r="U96" s="60"/>
      <c r="V96" s="226">
        <f t="shared" si="15"/>
        <v>0</v>
      </c>
      <c r="W96" s="53">
        <v>1</v>
      </c>
      <c r="X96" s="53">
        <f t="shared" si="18"/>
        <v>1</v>
      </c>
    </row>
    <row r="97" spans="1:24" ht="47.25" customHeight="1" x14ac:dyDescent="0.25">
      <c r="A97" s="53">
        <v>81</v>
      </c>
      <c r="B97" s="269" t="s">
        <v>382</v>
      </c>
      <c r="C97" s="54"/>
      <c r="D97" s="198" t="s">
        <v>490</v>
      </c>
      <c r="E97" s="270">
        <v>513.12</v>
      </c>
      <c r="F97" s="54" t="s">
        <v>486</v>
      </c>
      <c r="G97" s="198" t="s">
        <v>331</v>
      </c>
      <c r="H97" s="198" t="s">
        <v>327</v>
      </c>
      <c r="I97" s="270"/>
      <c r="J97" s="54"/>
      <c r="K97" s="198"/>
      <c r="L97" s="273">
        <f t="shared" si="20"/>
        <v>513.12</v>
      </c>
      <c r="M97" s="266">
        <f t="shared" si="16"/>
        <v>0</v>
      </c>
      <c r="N97" s="57"/>
      <c r="O97" s="223">
        <f t="shared" si="17"/>
        <v>0</v>
      </c>
      <c r="P97" s="269"/>
      <c r="Q97" s="54"/>
      <c r="R97" s="198"/>
      <c r="S97" s="225">
        <v>1</v>
      </c>
      <c r="T97" s="225">
        <f t="shared" si="19"/>
        <v>1</v>
      </c>
      <c r="U97" s="60"/>
      <c r="V97" s="226">
        <f t="shared" si="15"/>
        <v>0</v>
      </c>
      <c r="W97" s="53">
        <v>1</v>
      </c>
      <c r="X97" s="53">
        <f t="shared" si="18"/>
        <v>1</v>
      </c>
    </row>
    <row r="98" spans="1:24" ht="33.75" customHeight="1" x14ac:dyDescent="0.25">
      <c r="A98" s="53">
        <v>82</v>
      </c>
      <c r="B98" s="269" t="s">
        <v>382</v>
      </c>
      <c r="C98" s="54"/>
      <c r="D98" s="198" t="s">
        <v>492</v>
      </c>
      <c r="E98" s="270">
        <v>4962.24</v>
      </c>
      <c r="F98" s="54" t="s">
        <v>460</v>
      </c>
      <c r="G98" s="198" t="s">
        <v>338</v>
      </c>
      <c r="H98" s="198" t="s">
        <v>338</v>
      </c>
      <c r="I98" s="270"/>
      <c r="J98" s="54"/>
      <c r="K98" s="198"/>
      <c r="L98" s="273">
        <f t="shared" si="20"/>
        <v>4962.24</v>
      </c>
      <c r="M98" s="266">
        <f t="shared" si="16"/>
        <v>1</v>
      </c>
      <c r="N98" s="57"/>
      <c r="O98" s="223">
        <f t="shared" si="17"/>
        <v>0</v>
      </c>
      <c r="P98" s="269"/>
      <c r="Q98" s="54"/>
      <c r="R98" s="198"/>
      <c r="S98" s="225">
        <v>1</v>
      </c>
      <c r="T98" s="225">
        <f t="shared" si="19"/>
        <v>1</v>
      </c>
      <c r="U98" s="60"/>
      <c r="V98" s="226">
        <f t="shared" si="15"/>
        <v>0</v>
      </c>
      <c r="W98" s="53">
        <v>1</v>
      </c>
      <c r="X98" s="53">
        <f t="shared" si="18"/>
        <v>2</v>
      </c>
    </row>
    <row r="99" spans="1:24" ht="27.75" customHeight="1" x14ac:dyDescent="0.25">
      <c r="A99" s="53">
        <v>83</v>
      </c>
      <c r="B99" s="269" t="s">
        <v>382</v>
      </c>
      <c r="C99" s="54"/>
      <c r="D99" s="198" t="s">
        <v>493</v>
      </c>
      <c r="E99" s="270">
        <v>3576.3</v>
      </c>
      <c r="F99" s="54" t="s">
        <v>486</v>
      </c>
      <c r="G99" s="198" t="s">
        <v>331</v>
      </c>
      <c r="H99" s="198" t="s">
        <v>327</v>
      </c>
      <c r="I99" s="270"/>
      <c r="J99" s="54"/>
      <c r="K99" s="198"/>
      <c r="L99" s="273">
        <f t="shared" si="20"/>
        <v>3576.3</v>
      </c>
      <c r="M99" s="266">
        <f t="shared" si="16"/>
        <v>1</v>
      </c>
      <c r="N99" s="57"/>
      <c r="O99" s="223">
        <f t="shared" si="17"/>
        <v>0</v>
      </c>
      <c r="P99" s="269"/>
      <c r="Q99" s="54"/>
      <c r="R99" s="198"/>
      <c r="S99" s="225">
        <v>1</v>
      </c>
      <c r="T99" s="225">
        <f t="shared" si="19"/>
        <v>1</v>
      </c>
      <c r="U99" s="60"/>
      <c r="V99" s="226">
        <f t="shared" si="15"/>
        <v>0</v>
      </c>
      <c r="W99" s="53">
        <v>1</v>
      </c>
      <c r="X99" s="53">
        <f t="shared" si="18"/>
        <v>2</v>
      </c>
    </row>
    <row r="100" spans="1:24" ht="34.5" customHeight="1" x14ac:dyDescent="0.25">
      <c r="A100" s="53">
        <v>84</v>
      </c>
      <c r="B100" s="269" t="s">
        <v>382</v>
      </c>
      <c r="C100" s="54" t="s">
        <v>437</v>
      </c>
      <c r="E100" s="270">
        <v>987.32</v>
      </c>
      <c r="F100" s="54" t="s">
        <v>486</v>
      </c>
      <c r="G100" s="198" t="s">
        <v>331</v>
      </c>
      <c r="H100" s="198" t="s">
        <v>327</v>
      </c>
      <c r="I100" s="270">
        <v>218.05</v>
      </c>
      <c r="J100" s="54" t="s">
        <v>419</v>
      </c>
      <c r="K100" s="177" t="s">
        <v>411</v>
      </c>
      <c r="L100" s="273">
        <f t="shared" si="20"/>
        <v>987.32</v>
      </c>
      <c r="M100" s="266">
        <f t="shared" si="16"/>
        <v>0</v>
      </c>
      <c r="N100" s="57"/>
      <c r="O100" s="223">
        <f t="shared" si="17"/>
        <v>0</v>
      </c>
      <c r="P100" s="269">
        <v>1</v>
      </c>
      <c r="Q100" s="54">
        <v>1</v>
      </c>
      <c r="R100" s="198"/>
      <c r="S100" s="225">
        <v>1</v>
      </c>
      <c r="T100" s="225">
        <f t="shared" si="19"/>
        <v>3</v>
      </c>
      <c r="U100" s="60"/>
      <c r="V100" s="226">
        <f t="shared" si="15"/>
        <v>0</v>
      </c>
      <c r="W100" s="53">
        <v>1</v>
      </c>
      <c r="X100" s="53">
        <f t="shared" si="18"/>
        <v>3</v>
      </c>
    </row>
    <row r="101" spans="1:24" ht="44.25" customHeight="1" x14ac:dyDescent="0.25">
      <c r="A101" s="53">
        <v>85</v>
      </c>
      <c r="B101" s="269" t="s">
        <v>382</v>
      </c>
      <c r="C101" s="54"/>
      <c r="D101" s="198" t="s">
        <v>494</v>
      </c>
      <c r="E101" s="270">
        <v>8976.94</v>
      </c>
      <c r="F101" s="54" t="s">
        <v>486</v>
      </c>
      <c r="G101" s="198" t="s">
        <v>338</v>
      </c>
      <c r="H101" s="198" t="s">
        <v>338</v>
      </c>
      <c r="I101" s="270"/>
      <c r="J101" s="54"/>
      <c r="K101" s="198"/>
      <c r="L101" s="273">
        <f t="shared" si="20"/>
        <v>8976.94</v>
      </c>
      <c r="M101" s="266">
        <f t="shared" si="16"/>
        <v>1</v>
      </c>
      <c r="N101" s="57"/>
      <c r="O101" s="223">
        <f t="shared" si="17"/>
        <v>0</v>
      </c>
      <c r="P101" s="269"/>
      <c r="Q101" s="54"/>
      <c r="R101" s="198"/>
      <c r="S101" s="225">
        <v>1</v>
      </c>
      <c r="T101" s="225">
        <f t="shared" si="19"/>
        <v>1</v>
      </c>
      <c r="U101" s="60"/>
      <c r="V101" s="226">
        <f t="shared" si="15"/>
        <v>0</v>
      </c>
      <c r="W101" s="53">
        <v>1</v>
      </c>
      <c r="X101" s="53">
        <f t="shared" si="18"/>
        <v>2</v>
      </c>
    </row>
    <row r="102" spans="1:24" ht="45" customHeight="1" x14ac:dyDescent="0.25">
      <c r="A102" s="53">
        <v>86</v>
      </c>
      <c r="B102" s="269" t="s">
        <v>374</v>
      </c>
      <c r="C102" s="54"/>
      <c r="D102" s="198" t="s">
        <v>495</v>
      </c>
      <c r="E102" s="270">
        <v>6776.4</v>
      </c>
      <c r="F102" s="54" t="s">
        <v>486</v>
      </c>
      <c r="G102" s="198" t="s">
        <v>331</v>
      </c>
      <c r="H102" s="198" t="s">
        <v>327</v>
      </c>
      <c r="I102" s="270"/>
      <c r="J102" s="54"/>
      <c r="K102" s="198"/>
      <c r="L102" s="273">
        <f t="shared" si="20"/>
        <v>6776.4</v>
      </c>
      <c r="M102" s="266">
        <f t="shared" si="16"/>
        <v>1</v>
      </c>
      <c r="N102" s="57"/>
      <c r="O102" s="223">
        <f t="shared" si="17"/>
        <v>0</v>
      </c>
      <c r="P102" s="269"/>
      <c r="Q102" s="54"/>
      <c r="R102" s="198"/>
      <c r="S102" s="225">
        <v>1</v>
      </c>
      <c r="T102" s="225">
        <f t="shared" si="19"/>
        <v>1</v>
      </c>
      <c r="U102" s="60"/>
      <c r="V102" s="226">
        <f t="shared" si="15"/>
        <v>0</v>
      </c>
      <c r="W102" s="53">
        <v>1</v>
      </c>
      <c r="X102" s="53">
        <f t="shared" si="18"/>
        <v>2</v>
      </c>
    </row>
    <row r="103" spans="1:24" ht="26.25" customHeight="1" x14ac:dyDescent="0.25">
      <c r="A103" s="53">
        <v>87</v>
      </c>
      <c r="B103" s="269" t="s">
        <v>374</v>
      </c>
      <c r="C103" s="54"/>
      <c r="D103" s="198" t="s">
        <v>495</v>
      </c>
      <c r="E103" s="270">
        <v>6430.66</v>
      </c>
      <c r="F103" s="54" t="s">
        <v>486</v>
      </c>
      <c r="G103" s="198" t="s">
        <v>338</v>
      </c>
      <c r="H103" s="198" t="s">
        <v>327</v>
      </c>
      <c r="I103" s="270"/>
      <c r="J103" s="54"/>
      <c r="K103" s="198"/>
      <c r="L103" s="273">
        <f t="shared" si="20"/>
        <v>6430.66</v>
      </c>
      <c r="M103" s="266">
        <f t="shared" si="16"/>
        <v>1</v>
      </c>
      <c r="N103" s="57"/>
      <c r="O103" s="223">
        <f t="shared" si="17"/>
        <v>0</v>
      </c>
      <c r="P103" s="269"/>
      <c r="Q103" s="54"/>
      <c r="R103" s="198"/>
      <c r="S103" s="225">
        <v>1</v>
      </c>
      <c r="T103" s="225">
        <f t="shared" si="19"/>
        <v>1</v>
      </c>
      <c r="U103" s="60"/>
      <c r="V103" s="226">
        <f t="shared" si="15"/>
        <v>0</v>
      </c>
      <c r="W103" s="53">
        <v>1</v>
      </c>
      <c r="X103" s="53">
        <f t="shared" si="18"/>
        <v>2</v>
      </c>
    </row>
    <row r="104" spans="1:24" ht="27.75" customHeight="1" x14ac:dyDescent="0.25">
      <c r="A104" s="53">
        <v>88</v>
      </c>
      <c r="B104" s="269" t="s">
        <v>374</v>
      </c>
      <c r="C104" s="54"/>
      <c r="D104" s="198" t="s">
        <v>496</v>
      </c>
      <c r="E104" s="270">
        <v>2197.09</v>
      </c>
      <c r="F104" s="54" t="s">
        <v>486</v>
      </c>
      <c r="G104" s="198" t="s">
        <v>338</v>
      </c>
      <c r="H104" s="198" t="s">
        <v>332</v>
      </c>
      <c r="I104" s="270"/>
      <c r="J104" s="54"/>
      <c r="K104" s="198"/>
      <c r="L104" s="273">
        <f t="shared" si="20"/>
        <v>2197.09</v>
      </c>
      <c r="M104" s="266">
        <f t="shared" si="16"/>
        <v>0</v>
      </c>
      <c r="N104" s="57"/>
      <c r="O104" s="223">
        <f t="shared" si="17"/>
        <v>0</v>
      </c>
      <c r="P104" s="269"/>
      <c r="Q104" s="54"/>
      <c r="R104" s="198"/>
      <c r="S104" s="225">
        <v>1</v>
      </c>
      <c r="T104" s="225">
        <f t="shared" si="19"/>
        <v>1</v>
      </c>
      <c r="U104" s="60"/>
      <c r="V104" s="226">
        <f t="shared" si="15"/>
        <v>0</v>
      </c>
      <c r="W104" s="53">
        <v>1</v>
      </c>
      <c r="X104" s="53">
        <f t="shared" si="18"/>
        <v>1</v>
      </c>
    </row>
    <row r="105" spans="1:24" ht="32.25" customHeight="1" x14ac:dyDescent="0.25">
      <c r="A105" s="53">
        <v>89</v>
      </c>
      <c r="B105" s="269" t="s">
        <v>374</v>
      </c>
      <c r="C105" s="54"/>
      <c r="D105" s="198" t="s">
        <v>497</v>
      </c>
      <c r="E105" s="270">
        <v>3608.61</v>
      </c>
      <c r="F105" s="54" t="s">
        <v>486</v>
      </c>
      <c r="G105" s="198" t="s">
        <v>338</v>
      </c>
      <c r="H105" s="198" t="s">
        <v>332</v>
      </c>
      <c r="I105" s="270"/>
      <c r="J105" s="54"/>
      <c r="K105" s="198"/>
      <c r="L105" s="273">
        <f t="shared" si="20"/>
        <v>3608.61</v>
      </c>
      <c r="M105" s="266">
        <f t="shared" si="16"/>
        <v>1</v>
      </c>
      <c r="N105" s="57"/>
      <c r="O105" s="223">
        <f t="shared" si="17"/>
        <v>0</v>
      </c>
      <c r="P105" s="269"/>
      <c r="Q105" s="54"/>
      <c r="R105" s="198"/>
      <c r="S105" s="225">
        <v>1</v>
      </c>
      <c r="T105" s="225">
        <f t="shared" si="19"/>
        <v>1</v>
      </c>
      <c r="U105" s="60"/>
      <c r="V105" s="226">
        <f t="shared" si="15"/>
        <v>0</v>
      </c>
      <c r="W105" s="53">
        <v>1</v>
      </c>
      <c r="X105" s="53">
        <f t="shared" si="18"/>
        <v>2</v>
      </c>
    </row>
    <row r="106" spans="1:24" ht="27" customHeight="1" x14ac:dyDescent="0.25">
      <c r="A106" s="53">
        <v>90</v>
      </c>
      <c r="B106" s="269" t="s">
        <v>374</v>
      </c>
      <c r="C106" s="54" t="s">
        <v>375</v>
      </c>
      <c r="D106" s="198"/>
      <c r="E106" s="270">
        <v>2577.25</v>
      </c>
      <c r="F106" s="54" t="s">
        <v>353</v>
      </c>
      <c r="G106" s="198" t="s">
        <v>338</v>
      </c>
      <c r="H106" s="198" t="s">
        <v>327</v>
      </c>
      <c r="I106" s="270"/>
      <c r="J106" s="54"/>
      <c r="K106" s="198"/>
      <c r="L106" s="273">
        <f t="shared" si="20"/>
        <v>2577.25</v>
      </c>
      <c r="M106" s="266">
        <f t="shared" si="16"/>
        <v>0</v>
      </c>
      <c r="N106" s="57"/>
      <c r="O106" s="223">
        <f t="shared" si="17"/>
        <v>0</v>
      </c>
      <c r="P106" s="269">
        <v>1</v>
      </c>
      <c r="Q106" s="54">
        <v>1</v>
      </c>
      <c r="R106" s="198">
        <v>1</v>
      </c>
      <c r="S106" s="225">
        <v>1</v>
      </c>
      <c r="T106" s="225">
        <f t="shared" si="19"/>
        <v>4</v>
      </c>
      <c r="U106" s="60"/>
      <c r="V106" s="226">
        <f t="shared" si="15"/>
        <v>0</v>
      </c>
      <c r="W106" s="53">
        <v>5</v>
      </c>
      <c r="X106" s="53">
        <f t="shared" si="18"/>
        <v>20</v>
      </c>
    </row>
    <row r="107" spans="1:24" ht="29.25" customHeight="1" x14ac:dyDescent="0.25">
      <c r="A107" s="53">
        <v>91</v>
      </c>
      <c r="B107" s="269" t="s">
        <v>374</v>
      </c>
      <c r="C107" s="54" t="s">
        <v>403</v>
      </c>
      <c r="D107" s="198" t="s">
        <v>498</v>
      </c>
      <c r="E107" s="270">
        <v>2685.9</v>
      </c>
      <c r="F107" s="54" t="s">
        <v>486</v>
      </c>
      <c r="G107" s="198" t="s">
        <v>338</v>
      </c>
      <c r="H107" s="198" t="s">
        <v>327</v>
      </c>
      <c r="I107" s="270"/>
      <c r="J107" s="54"/>
      <c r="K107" s="198"/>
      <c r="L107" s="273">
        <f t="shared" si="20"/>
        <v>2685.9</v>
      </c>
      <c r="M107" s="266">
        <f t="shared" si="16"/>
        <v>0</v>
      </c>
      <c r="N107" s="57"/>
      <c r="O107" s="223">
        <f t="shared" si="17"/>
        <v>0</v>
      </c>
      <c r="P107" s="269"/>
      <c r="Q107" s="54">
        <v>1</v>
      </c>
      <c r="R107" s="198"/>
      <c r="S107" s="225">
        <v>1</v>
      </c>
      <c r="T107" s="225">
        <f t="shared" si="19"/>
        <v>2</v>
      </c>
      <c r="U107" s="60"/>
      <c r="V107" s="226">
        <f t="shared" si="15"/>
        <v>0</v>
      </c>
      <c r="W107" s="53">
        <v>4</v>
      </c>
      <c r="X107" s="53">
        <f t="shared" si="18"/>
        <v>8</v>
      </c>
    </row>
    <row r="108" spans="1:24" ht="32.25" customHeight="1" x14ac:dyDescent="0.25">
      <c r="A108" s="53">
        <v>92</v>
      </c>
      <c r="B108" s="269" t="s">
        <v>374</v>
      </c>
      <c r="C108" s="54"/>
      <c r="D108" s="198" t="s">
        <v>499</v>
      </c>
      <c r="E108" s="270">
        <v>1389.76</v>
      </c>
      <c r="F108" s="54" t="s">
        <v>353</v>
      </c>
      <c r="G108" s="198" t="s">
        <v>338</v>
      </c>
      <c r="H108" s="198" t="s">
        <v>327</v>
      </c>
      <c r="I108" s="270"/>
      <c r="J108" s="54"/>
      <c r="K108" s="198"/>
      <c r="L108" s="273">
        <f t="shared" si="20"/>
        <v>1389.76</v>
      </c>
      <c r="M108" s="266">
        <f t="shared" si="16"/>
        <v>0</v>
      </c>
      <c r="N108" s="57"/>
      <c r="O108" s="223">
        <f t="shared" si="17"/>
        <v>0</v>
      </c>
      <c r="P108" s="269"/>
      <c r="Q108" s="54"/>
      <c r="R108" s="198"/>
      <c r="S108" s="225">
        <v>1</v>
      </c>
      <c r="T108" s="225">
        <f t="shared" si="19"/>
        <v>1</v>
      </c>
      <c r="U108" s="60"/>
      <c r="V108" s="226">
        <f t="shared" si="15"/>
        <v>0</v>
      </c>
      <c r="W108" s="53">
        <v>1</v>
      </c>
      <c r="X108" s="53">
        <f t="shared" si="18"/>
        <v>1</v>
      </c>
    </row>
    <row r="109" spans="1:24" ht="32.25" customHeight="1" x14ac:dyDescent="0.25">
      <c r="A109" s="53">
        <v>93</v>
      </c>
      <c r="B109" s="269" t="s">
        <v>374</v>
      </c>
      <c r="C109" s="54" t="s">
        <v>433</v>
      </c>
      <c r="D109" s="198"/>
      <c r="E109" s="270">
        <v>1210.74</v>
      </c>
      <c r="F109" s="54" t="s">
        <v>363</v>
      </c>
      <c r="G109" s="198" t="s">
        <v>331</v>
      </c>
      <c r="H109" s="198" t="s">
        <v>338</v>
      </c>
      <c r="I109" s="270"/>
      <c r="J109" s="54"/>
      <c r="K109" s="198"/>
      <c r="L109" s="273">
        <f t="shared" si="20"/>
        <v>1210.74</v>
      </c>
      <c r="M109" s="266">
        <f t="shared" si="16"/>
        <v>0</v>
      </c>
      <c r="N109" s="57"/>
      <c r="O109" s="223">
        <f t="shared" si="17"/>
        <v>0</v>
      </c>
      <c r="P109" s="269"/>
      <c r="Q109" s="54"/>
      <c r="R109" s="198"/>
      <c r="S109" s="225">
        <v>1</v>
      </c>
      <c r="T109" s="225">
        <f t="shared" si="19"/>
        <v>1</v>
      </c>
      <c r="U109" s="60"/>
      <c r="V109" s="226">
        <f t="shared" si="15"/>
        <v>0</v>
      </c>
      <c r="W109" s="53">
        <v>4</v>
      </c>
      <c r="X109" s="53">
        <f t="shared" si="18"/>
        <v>4</v>
      </c>
    </row>
    <row r="110" spans="1:24" ht="32.25" customHeight="1" x14ac:dyDescent="0.25">
      <c r="A110" s="53">
        <v>94</v>
      </c>
      <c r="B110" s="269" t="s">
        <v>374</v>
      </c>
      <c r="C110" s="54" t="s">
        <v>405</v>
      </c>
      <c r="D110" s="198"/>
      <c r="E110" s="270">
        <v>1388.98</v>
      </c>
      <c r="F110" s="54" t="s">
        <v>353</v>
      </c>
      <c r="G110" s="198" t="s">
        <v>331</v>
      </c>
      <c r="H110" s="198" t="s">
        <v>327</v>
      </c>
      <c r="I110" s="270"/>
      <c r="J110" s="54"/>
      <c r="K110" s="198"/>
      <c r="L110" s="273">
        <f t="shared" si="20"/>
        <v>1388.98</v>
      </c>
      <c r="M110" s="266">
        <f t="shared" si="16"/>
        <v>0</v>
      </c>
      <c r="N110" s="57"/>
      <c r="O110" s="223">
        <f t="shared" si="17"/>
        <v>0</v>
      </c>
      <c r="P110" s="269"/>
      <c r="Q110" s="54">
        <v>1</v>
      </c>
      <c r="R110" s="198"/>
      <c r="S110" s="225">
        <v>1</v>
      </c>
      <c r="T110" s="225">
        <f t="shared" si="19"/>
        <v>2</v>
      </c>
      <c r="U110" s="60"/>
      <c r="V110" s="226">
        <f t="shared" si="15"/>
        <v>0</v>
      </c>
      <c r="W110" s="53">
        <v>4</v>
      </c>
      <c r="X110" s="53">
        <f t="shared" si="18"/>
        <v>8</v>
      </c>
    </row>
    <row r="111" spans="1:24" ht="25.5" customHeight="1" x14ac:dyDescent="0.25">
      <c r="A111" s="53">
        <v>95</v>
      </c>
      <c r="B111" s="269" t="s">
        <v>374</v>
      </c>
      <c r="C111" s="54"/>
      <c r="D111" s="198" t="s">
        <v>500</v>
      </c>
      <c r="E111" s="270">
        <v>1170.1400000000001</v>
      </c>
      <c r="F111" s="54" t="s">
        <v>342</v>
      </c>
      <c r="G111" s="198" t="s">
        <v>326</v>
      </c>
      <c r="H111" s="198" t="s">
        <v>35</v>
      </c>
      <c r="I111" s="270"/>
      <c r="J111" s="54"/>
      <c r="K111" s="198"/>
      <c r="L111" s="273">
        <f t="shared" si="20"/>
        <v>1170.1400000000001</v>
      </c>
      <c r="M111" s="266">
        <f t="shared" si="16"/>
        <v>0</v>
      </c>
      <c r="N111" s="57"/>
      <c r="O111" s="223">
        <f t="shared" si="17"/>
        <v>0</v>
      </c>
      <c r="P111" s="269"/>
      <c r="Q111" s="54"/>
      <c r="R111" s="198"/>
      <c r="S111" s="225">
        <v>1</v>
      </c>
      <c r="T111" s="225">
        <f t="shared" si="19"/>
        <v>1</v>
      </c>
      <c r="U111" s="60"/>
      <c r="V111" s="226">
        <f t="shared" si="15"/>
        <v>0</v>
      </c>
      <c r="W111" s="53">
        <v>1</v>
      </c>
      <c r="X111" s="53">
        <f t="shared" si="18"/>
        <v>1</v>
      </c>
    </row>
    <row r="112" spans="1:24" ht="25.5" customHeight="1" x14ac:dyDescent="0.25">
      <c r="A112" s="53">
        <v>96</v>
      </c>
      <c r="B112" s="288" t="s">
        <v>350</v>
      </c>
      <c r="C112" s="225"/>
      <c r="D112" s="289" t="s">
        <v>501</v>
      </c>
      <c r="E112" s="290">
        <v>1654.5</v>
      </c>
      <c r="F112" s="225" t="s">
        <v>372</v>
      </c>
      <c r="G112" s="289" t="s">
        <v>411</v>
      </c>
      <c r="H112" s="289" t="s">
        <v>35</v>
      </c>
      <c r="I112" s="290"/>
      <c r="J112" s="225"/>
      <c r="K112" s="289"/>
      <c r="L112" s="291">
        <f t="shared" si="20"/>
        <v>1654.5</v>
      </c>
      <c r="M112" s="266">
        <f t="shared" si="16"/>
        <v>0</v>
      </c>
      <c r="N112" s="239"/>
      <c r="O112" s="223">
        <f t="shared" si="17"/>
        <v>0</v>
      </c>
      <c r="P112" s="288"/>
      <c r="Q112" s="225"/>
      <c r="R112" s="289"/>
      <c r="S112" s="225">
        <v>1</v>
      </c>
      <c r="T112" s="225">
        <f t="shared" si="19"/>
        <v>1</v>
      </c>
      <c r="U112" s="292"/>
      <c r="V112" s="226">
        <f t="shared" si="15"/>
        <v>0</v>
      </c>
      <c r="W112" s="53">
        <v>1</v>
      </c>
      <c r="X112" s="53">
        <f t="shared" si="18"/>
        <v>1</v>
      </c>
    </row>
    <row r="113" spans="1:24" ht="25.5" customHeight="1" x14ac:dyDescent="0.25">
      <c r="A113" s="53">
        <v>97</v>
      </c>
      <c r="B113" s="53" t="s">
        <v>376</v>
      </c>
      <c r="C113" s="53" t="s">
        <v>379</v>
      </c>
      <c r="D113" s="53" t="s">
        <v>379</v>
      </c>
      <c r="E113" s="293">
        <v>109.56</v>
      </c>
      <c r="F113" s="53" t="s">
        <v>363</v>
      </c>
      <c r="G113" s="53" t="s">
        <v>338</v>
      </c>
      <c r="H113" s="53" t="s">
        <v>338</v>
      </c>
      <c r="I113" s="293">
        <v>68.459999999999994</v>
      </c>
      <c r="J113" s="53" t="s">
        <v>328</v>
      </c>
      <c r="K113" s="53" t="s">
        <v>411</v>
      </c>
      <c r="L113" s="57">
        <f>E113+I113</f>
        <v>178.01999999999998</v>
      </c>
      <c r="M113" s="266">
        <f t="shared" si="16"/>
        <v>0</v>
      </c>
      <c r="N113" s="57" t="s">
        <v>321</v>
      </c>
      <c r="O113" s="223">
        <f t="shared" si="17"/>
        <v>1</v>
      </c>
      <c r="P113" s="53"/>
      <c r="Q113" s="53">
        <v>1</v>
      </c>
      <c r="R113" s="53">
        <v>1</v>
      </c>
      <c r="S113" s="53">
        <v>1</v>
      </c>
      <c r="T113" s="53">
        <f>P113+Q113+R113+S113</f>
        <v>3</v>
      </c>
      <c r="U113" s="60"/>
      <c r="V113" s="61">
        <f t="shared" si="15"/>
        <v>0</v>
      </c>
      <c r="W113" s="53">
        <v>5</v>
      </c>
      <c r="X113" s="53">
        <f t="shared" si="18"/>
        <v>20</v>
      </c>
    </row>
    <row r="115" spans="1:24" x14ac:dyDescent="0.25">
      <c r="L115" s="294"/>
    </row>
    <row r="118" spans="1:24" x14ac:dyDescent="0.25">
      <c r="P118" s="297"/>
    </row>
  </sheetData>
  <mergeCells count="199">
    <mergeCell ref="P1:T1"/>
    <mergeCell ref="U1:V2"/>
    <mergeCell ref="W1:W2"/>
    <mergeCell ref="A3:A4"/>
    <mergeCell ref="B3:B4"/>
    <mergeCell ref="C3:C4"/>
    <mergeCell ref="L3:L4"/>
    <mergeCell ref="M3:M4"/>
    <mergeCell ref="N3:N4"/>
    <mergeCell ref="B1:D1"/>
    <mergeCell ref="E1:H1"/>
    <mergeCell ref="I1:K1"/>
    <mergeCell ref="L1:M2"/>
    <mergeCell ref="N1:O2"/>
    <mergeCell ref="U3:U4"/>
    <mergeCell ref="V3:V4"/>
    <mergeCell ref="W3:W4"/>
    <mergeCell ref="X3:X4"/>
    <mergeCell ref="A5:A6"/>
    <mergeCell ref="B5:B6"/>
    <mergeCell ref="C5:C6"/>
    <mergeCell ref="D5:D6"/>
    <mergeCell ref="L5:L6"/>
    <mergeCell ref="M5:M6"/>
    <mergeCell ref="O3:O4"/>
    <mergeCell ref="P3:P4"/>
    <mergeCell ref="Q3:Q4"/>
    <mergeCell ref="R3:R4"/>
    <mergeCell ref="S3:S4"/>
    <mergeCell ref="T3:T4"/>
    <mergeCell ref="AH5:AH7"/>
    <mergeCell ref="A8:A9"/>
    <mergeCell ref="B8:B9"/>
    <mergeCell ref="C8:C9"/>
    <mergeCell ref="D8:D9"/>
    <mergeCell ref="L8:L9"/>
    <mergeCell ref="M8:M9"/>
    <mergeCell ref="N8:N9"/>
    <mergeCell ref="O8:O9"/>
    <mergeCell ref="S5:S6"/>
    <mergeCell ref="T5:T6"/>
    <mergeCell ref="U5:U6"/>
    <mergeCell ref="V5:V6"/>
    <mergeCell ref="W5:W6"/>
    <mergeCell ref="X5:X6"/>
    <mergeCell ref="N5:N6"/>
    <mergeCell ref="O5:O6"/>
    <mergeCell ref="P5:P6"/>
    <mergeCell ref="Q5:Q6"/>
    <mergeCell ref="R5:R6"/>
    <mergeCell ref="AH9:AH12"/>
    <mergeCell ref="A10:A11"/>
    <mergeCell ref="B10:B11"/>
    <mergeCell ref="C10:C11"/>
    <mergeCell ref="D10:D11"/>
    <mergeCell ref="L10:L11"/>
    <mergeCell ref="M10:M11"/>
    <mergeCell ref="P8:P9"/>
    <mergeCell ref="Q8:Q9"/>
    <mergeCell ref="R8:R9"/>
    <mergeCell ref="S8:S9"/>
    <mergeCell ref="X10:X11"/>
    <mergeCell ref="N10:N11"/>
    <mergeCell ref="O10:O11"/>
    <mergeCell ref="P10:P11"/>
    <mergeCell ref="Q10:Q11"/>
    <mergeCell ref="R10:R11"/>
    <mergeCell ref="V8:V9"/>
    <mergeCell ref="W8:W9"/>
    <mergeCell ref="X8:X9"/>
    <mergeCell ref="L13:L14"/>
    <mergeCell ref="M13:M14"/>
    <mergeCell ref="S10:S11"/>
    <mergeCell ref="T10:T11"/>
    <mergeCell ref="U10:U11"/>
    <mergeCell ref="V10:V11"/>
    <mergeCell ref="W10:W11"/>
    <mergeCell ref="T8:T9"/>
    <mergeCell ref="U8:U9"/>
    <mergeCell ref="AH13:AH14"/>
    <mergeCell ref="A15:A17"/>
    <mergeCell ref="B15:B17"/>
    <mergeCell ref="C15:C17"/>
    <mergeCell ref="D15:D17"/>
    <mergeCell ref="L15:L17"/>
    <mergeCell ref="M15:M17"/>
    <mergeCell ref="N15:N17"/>
    <mergeCell ref="O15:O17"/>
    <mergeCell ref="S13:S14"/>
    <mergeCell ref="T13:T14"/>
    <mergeCell ref="U13:U14"/>
    <mergeCell ref="V13:V14"/>
    <mergeCell ref="W13:W14"/>
    <mergeCell ref="X13:X14"/>
    <mergeCell ref="N13:N14"/>
    <mergeCell ref="O13:O14"/>
    <mergeCell ref="P13:P14"/>
    <mergeCell ref="Q13:Q14"/>
    <mergeCell ref="R13:R14"/>
    <mergeCell ref="A13:A14"/>
    <mergeCell ref="B13:B14"/>
    <mergeCell ref="C13:C14"/>
    <mergeCell ref="D13:D14"/>
    <mergeCell ref="V15:V17"/>
    <mergeCell ref="W15:W17"/>
    <mergeCell ref="X15:X17"/>
    <mergeCell ref="AH15:AH16"/>
    <mergeCell ref="A18:A20"/>
    <mergeCell ref="B18:B20"/>
    <mergeCell ref="C18:C20"/>
    <mergeCell ref="D18:D20"/>
    <mergeCell ref="L18:L20"/>
    <mergeCell ref="M18:M20"/>
    <mergeCell ref="P15:P17"/>
    <mergeCell ref="Q15:Q17"/>
    <mergeCell ref="R15:R17"/>
    <mergeCell ref="S15:S17"/>
    <mergeCell ref="T15:T17"/>
    <mergeCell ref="U15:U17"/>
    <mergeCell ref="AH19:AH21"/>
    <mergeCell ref="S18:S20"/>
    <mergeCell ref="T18:T20"/>
    <mergeCell ref="U18:U20"/>
    <mergeCell ref="V18:V20"/>
    <mergeCell ref="W18:W20"/>
    <mergeCell ref="X18:X20"/>
    <mergeCell ref="X25:X27"/>
    <mergeCell ref="A39:A40"/>
    <mergeCell ref="B39:B40"/>
    <mergeCell ref="C39:C40"/>
    <mergeCell ref="D39:D40"/>
    <mergeCell ref="L39:L40"/>
    <mergeCell ref="M39:M40"/>
    <mergeCell ref="N39:N40"/>
    <mergeCell ref="Q25:Q27"/>
    <mergeCell ref="R25:R27"/>
    <mergeCell ref="S25:S27"/>
    <mergeCell ref="T25:T27"/>
    <mergeCell ref="U25:U27"/>
    <mergeCell ref="V25:V27"/>
    <mergeCell ref="U39:U40"/>
    <mergeCell ref="V39:V40"/>
    <mergeCell ref="W39:W40"/>
    <mergeCell ref="A25:A27"/>
    <mergeCell ref="B25:B27"/>
    <mergeCell ref="C25:C27"/>
    <mergeCell ref="L25:L27"/>
    <mergeCell ref="M25:M27"/>
    <mergeCell ref="N25:N27"/>
    <mergeCell ref="O25:O27"/>
    <mergeCell ref="M63:M64"/>
    <mergeCell ref="N63:N64"/>
    <mergeCell ref="O63:O64"/>
    <mergeCell ref="N18:N20"/>
    <mergeCell ref="O18:O20"/>
    <mergeCell ref="P18:P20"/>
    <mergeCell ref="Q18:Q20"/>
    <mergeCell ref="R18:R20"/>
    <mergeCell ref="W25:W27"/>
    <mergeCell ref="P25:P27"/>
    <mergeCell ref="A90:A91"/>
    <mergeCell ref="B90:B91"/>
    <mergeCell ref="C90:C91"/>
    <mergeCell ref="D90:D91"/>
    <mergeCell ref="L90:L91"/>
    <mergeCell ref="M90:M91"/>
    <mergeCell ref="N90:N91"/>
    <mergeCell ref="O90:O91"/>
    <mergeCell ref="X39:X40"/>
    <mergeCell ref="A63:A64"/>
    <mergeCell ref="B63:B64"/>
    <mergeCell ref="C63:C64"/>
    <mergeCell ref="D63:D64"/>
    <mergeCell ref="K63:K64"/>
    <mergeCell ref="L63:L64"/>
    <mergeCell ref="O39:O40"/>
    <mergeCell ref="P39:P40"/>
    <mergeCell ref="Q39:Q40"/>
    <mergeCell ref="R39:R40"/>
    <mergeCell ref="S39:S40"/>
    <mergeCell ref="T39:T40"/>
    <mergeCell ref="X63:X64"/>
    <mergeCell ref="R63:R64"/>
    <mergeCell ref="S63:S64"/>
    <mergeCell ref="P63:P64"/>
    <mergeCell ref="Q63:Q64"/>
    <mergeCell ref="V90:V91"/>
    <mergeCell ref="W90:W91"/>
    <mergeCell ref="X90:X91"/>
    <mergeCell ref="P90:P91"/>
    <mergeCell ref="Q90:Q91"/>
    <mergeCell ref="R90:R91"/>
    <mergeCell ref="S90:S91"/>
    <mergeCell ref="T90:T91"/>
    <mergeCell ref="U90:U91"/>
    <mergeCell ref="T63:T64"/>
    <mergeCell ref="U63:U64"/>
    <mergeCell ref="V63:V64"/>
    <mergeCell ref="W63:W64"/>
  </mergeCells>
  <conditionalFormatting sqref="L3:M3 L4:L6 M5 L7:M7 M8 L8:L10 M10 L12:M12 M13 L13:L14 L15:M15 L16:L20 M18 L21:M24 M25 L25:L27 L28:M39 L40 L41:M62 M63 L63:L64 L65:M89 M90 L90:L91 L92:M113">
    <cfRule type="cellIs" dxfId="0" priority="2" operator="greaterThan">
      <formula>3027.959286</formula>
    </cfRule>
  </conditionalFormatting>
  <conditionalFormatting sqref="N7:N8 N10 N15 N18 N21:N25 N41:N63 N65:N90 N92:N113 N12:N13 N3 N28:N39 N5">
    <cfRule type="colorScale" priority="3">
      <colorScale>
        <cfvo type="min"/>
        <cfvo type="percentile" val="50"/>
        <cfvo type="max"/>
        <color rgb="FFF8696B"/>
        <color rgb="FFFFEB84"/>
        <color rgb="FF63BE7B"/>
      </colorScale>
    </cfRule>
  </conditionalFormatting>
  <conditionalFormatting sqref="Y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Herramienta</vt:lpstr>
      <vt:lpstr>Matriz toma de decision</vt:lpstr>
      <vt:lpstr>Priorización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Eleonora Ruiz</dc:creator>
  <cp:lastModifiedBy>Eleonora Ruiz</cp:lastModifiedBy>
  <dcterms:created xsi:type="dcterms:W3CDTF">2024-06-10T17:49:08Z</dcterms:created>
  <dcterms:modified xsi:type="dcterms:W3CDTF">2024-07-10T04:55:15Z</dcterms:modified>
</cp:coreProperties>
</file>